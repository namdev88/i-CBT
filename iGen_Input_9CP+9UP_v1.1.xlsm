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drawings/drawing15.xml" ContentType="application/vnd.openxmlformats-officedocument.drawing+xml"/>
  <Override PartName="/xl/ctrlProps/ctrlProp17.xml" ContentType="application/vnd.ms-excel.controlproperties+xml"/>
  <Override PartName="/xl/drawings/drawing16.xml" ContentType="application/vnd.openxmlformats-officedocument.drawing+xml"/>
  <Override PartName="/xl/ctrlProps/ctrlProp18.xml" ContentType="application/vnd.ms-excel.controlproperties+xml"/>
  <Override PartName="/xl/drawings/drawing17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mdev\Desktop\iGen_Working\Common\v1.1\"/>
    </mc:Choice>
  </mc:AlternateContent>
  <xr:revisionPtr revIDLastSave="0" documentId="13_ncr:1_{28B9B1AC-BC32-48E2-9900-81D18F77BC45}" xr6:coauthVersionLast="36" xr6:coauthVersionMax="36" xr10:uidLastSave="{00000000-0000-0000-0000-000000000000}"/>
  <bookViews>
    <workbookView xWindow="0" yWindow="0" windowWidth="19200" windowHeight="7116" tabRatio="866" activeTab="1" xr2:uid="{4EB69B79-3D22-408A-ADB3-E6107AEF44AA}"/>
  </bookViews>
  <sheets>
    <sheet name="Readme" sheetId="1" r:id="rId1"/>
    <sheet name="Beforeyoustart" sheetId="77" r:id="rId2"/>
    <sheet name="External Interfaces" sheetId="78" r:id="rId3"/>
    <sheet name="Node" sheetId="2" r:id="rId4"/>
    <sheet name="Cards" sheetId="24" r:id="rId5"/>
    <sheet name="Ports" sheetId="52" r:id="rId6"/>
    <sheet name="Security" sheetId="44" r:id="rId7"/>
    <sheet name="Logs" sheetId="47" r:id="rId8"/>
    <sheet name="KPILogs" sheetId="49" r:id="rId9"/>
    <sheet name="MGBasic" sheetId="26" r:id="rId10"/>
    <sheet name="Diameter" sheetId="34" r:id="rId11"/>
    <sheet name="Radius" sheetId="38" r:id="rId12"/>
    <sheet name="Charging" sheetId="37" r:id="rId13"/>
    <sheet name="Ga" sheetId="39" r:id="rId14"/>
    <sheet name="Sx" sheetId="50" r:id="rId15"/>
    <sheet name="APNs" sheetId="51" r:id="rId16"/>
    <sheet name="MGDefault" sheetId="53" r:id="rId17"/>
    <sheet name="RouterBase" sheetId="3" r:id="rId18"/>
    <sheet name="LBVPRNs" sheetId="4" r:id="rId19"/>
    <sheet name="MGsSpecific" sheetId="54" r:id="rId20"/>
    <sheet name="Ipfix" sheetId="58" r:id="rId21"/>
    <sheet name="NAT" sheetId="55" r:id="rId22"/>
    <sheet name="MG1VPRNs" sheetId="5" r:id="rId23"/>
    <sheet name="MG2VPRNs" sheetId="65" r:id="rId24"/>
    <sheet name="MG3VPRNs" sheetId="66" r:id="rId25"/>
    <sheet name="MG4VPRNs" sheetId="67" r:id="rId26"/>
    <sheet name="MG5VPRNs" sheetId="68" r:id="rId27"/>
    <sheet name="MG6VPRNs" sheetId="69" r:id="rId28"/>
    <sheet name="MG7VPRNs" sheetId="70" r:id="rId29"/>
    <sheet name="MG8VPRNs" sheetId="71" r:id="rId30"/>
    <sheet name="MG9VPRNs" sheetId="72" r:id="rId31"/>
  </sheets>
  <functionGroups builtInGroupCount="19"/>
  <externalReferences>
    <externalReference r:id="rId32"/>
    <externalReference r:id="rId33"/>
  </externalReferences>
  <definedNames>
    <definedName name="ChassisTypes">#REF!</definedName>
    <definedName name="SARCards">#REF!</definedName>
    <definedName name="SARMdas">#REF!</definedName>
    <definedName name="SASCards">#REF!</definedName>
    <definedName name="SASMDAs">#REF!</definedName>
    <definedName name="SRCards">#REF!</definedName>
    <definedName name="SRMDA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0" i="78" l="1"/>
  <c r="L29" i="78"/>
  <c r="L9" i="78"/>
  <c r="L10" i="78"/>
  <c r="L7" i="78"/>
  <c r="E7" i="78"/>
  <c r="L8" i="78"/>
  <c r="L28" i="78"/>
  <c r="E14" i="78"/>
  <c r="E15" i="78"/>
  <c r="E16" i="78" s="1"/>
  <c r="E8" i="78"/>
  <c r="E9" i="78" s="1"/>
  <c r="E10" i="78"/>
  <c r="E11" i="78" s="1"/>
  <c r="E12" i="78" s="1"/>
  <c r="E13" i="78" s="1"/>
  <c r="E17" i="78" s="1"/>
  <c r="L11" i="78"/>
  <c r="L12" i="78"/>
  <c r="L13" i="78" s="1"/>
  <c r="L19" i="78" s="1"/>
  <c r="L20" i="78" s="1"/>
  <c r="L21" i="78" s="1"/>
  <c r="L22" i="78" s="1"/>
  <c r="G36" i="77" l="1"/>
  <c r="G34" i="77"/>
  <c r="G30" i="77"/>
  <c r="B34" i="52" l="1"/>
  <c r="B35" i="52"/>
  <c r="B36" i="52"/>
  <c r="B37" i="52"/>
  <c r="B38" i="52"/>
  <c r="B39" i="52"/>
  <c r="B40" i="52"/>
  <c r="B41" i="52"/>
  <c r="B42" i="52"/>
  <c r="B43" i="52"/>
  <c r="B44" i="52"/>
  <c r="B45" i="52"/>
  <c r="B46" i="52"/>
  <c r="B47" i="52"/>
  <c r="B48" i="52"/>
  <c r="B49" i="52"/>
  <c r="B28" i="52"/>
  <c r="B29" i="52"/>
  <c r="B30" i="52"/>
  <c r="B31" i="52"/>
  <c r="B32" i="52"/>
  <c r="B33" i="52"/>
  <c r="B27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11" i="52"/>
  <c r="B18" i="51" l="1"/>
  <c r="B12" i="51"/>
  <c r="B21" i="51"/>
  <c r="B22" i="51"/>
  <c r="B23" i="51"/>
  <c r="B24" i="51"/>
  <c r="B25" i="51"/>
  <c r="B26" i="51"/>
  <c r="B27" i="51"/>
  <c r="B13" i="51"/>
  <c r="B14" i="51"/>
  <c r="B15" i="51"/>
  <c r="B16" i="51"/>
  <c r="B17" i="51"/>
  <c r="M24" i="50"/>
  <c r="L24" i="50"/>
  <c r="M22" i="50"/>
  <c r="L22" i="50"/>
  <c r="B20" i="50"/>
  <c r="B21" i="50"/>
  <c r="B22" i="50"/>
  <c r="B23" i="50"/>
  <c r="B24" i="50"/>
  <c r="B25" i="50"/>
  <c r="O25" i="50"/>
  <c r="O24" i="50"/>
  <c r="E24" i="50"/>
  <c r="E25" i="50" s="1"/>
  <c r="O23" i="50"/>
  <c r="O22" i="50"/>
  <c r="E22" i="50"/>
  <c r="E23" i="50" s="1"/>
  <c r="O21" i="50"/>
  <c r="O20" i="50"/>
  <c r="M20" i="50"/>
  <c r="L20" i="50"/>
  <c r="E20" i="50"/>
  <c r="E21" i="50" s="1"/>
  <c r="M18" i="50"/>
  <c r="L18" i="50"/>
  <c r="B19" i="50"/>
  <c r="B18" i="50"/>
  <c r="O19" i="50"/>
  <c r="O18" i="50"/>
  <c r="E18" i="50"/>
  <c r="E19" i="50" s="1"/>
  <c r="O17" i="50"/>
  <c r="O16" i="50"/>
  <c r="M16" i="50"/>
  <c r="L16" i="50"/>
  <c r="E12" i="50"/>
  <c r="E13" i="50" s="1"/>
  <c r="E14" i="50" s="1"/>
  <c r="E15" i="50" s="1"/>
  <c r="E16" i="50" s="1"/>
  <c r="E17" i="50" s="1"/>
  <c r="E10" i="50"/>
  <c r="B14" i="50" l="1"/>
  <c r="B15" i="50"/>
  <c r="B16" i="50"/>
  <c r="B17" i="50"/>
  <c r="B10" i="50"/>
  <c r="B11" i="50"/>
  <c r="B12" i="50"/>
  <c r="B13" i="50"/>
  <c r="B8" i="54" l="1"/>
  <c r="B9" i="54"/>
  <c r="B10" i="54"/>
  <c r="B11" i="54"/>
  <c r="B12" i="54"/>
  <c r="B13" i="54"/>
  <c r="B14" i="54"/>
  <c r="B15" i="54"/>
  <c r="B16" i="54"/>
  <c r="G80" i="54" l="1"/>
  <c r="G88" i="54" l="1"/>
  <c r="G87" i="54"/>
  <c r="G85" i="54"/>
  <c r="G83" i="54"/>
  <c r="G82" i="54"/>
  <c r="G81" i="54"/>
  <c r="G17" i="54"/>
  <c r="G18" i="54"/>
  <c r="G19" i="54"/>
  <c r="G21" i="54"/>
  <c r="G23" i="54"/>
  <c r="G24" i="54"/>
  <c r="G25" i="54"/>
  <c r="G26" i="54"/>
  <c r="G27" i="54"/>
  <c r="G29" i="54"/>
  <c r="G31" i="54"/>
  <c r="G32" i="54"/>
  <c r="G33" i="54"/>
  <c r="G34" i="54"/>
  <c r="G35" i="54"/>
  <c r="G37" i="54"/>
  <c r="G39" i="54"/>
  <c r="G40" i="54"/>
  <c r="G41" i="54"/>
  <c r="G42" i="54"/>
  <c r="G43" i="54"/>
  <c r="G45" i="54"/>
  <c r="G47" i="54"/>
  <c r="G48" i="54"/>
  <c r="G49" i="54"/>
  <c r="G50" i="54"/>
  <c r="G51" i="54"/>
  <c r="G53" i="54"/>
  <c r="G55" i="54"/>
  <c r="G56" i="54"/>
  <c r="G57" i="54"/>
  <c r="G58" i="54"/>
  <c r="G59" i="54"/>
  <c r="G61" i="54"/>
  <c r="G63" i="54"/>
  <c r="G64" i="54"/>
  <c r="G65" i="54"/>
  <c r="G66" i="54"/>
  <c r="G67" i="54"/>
  <c r="G69" i="54"/>
  <c r="G71" i="54"/>
  <c r="G72" i="54"/>
  <c r="G73" i="54"/>
  <c r="G74" i="54"/>
  <c r="G75" i="54"/>
  <c r="G77" i="54"/>
  <c r="G79" i="54"/>
  <c r="G27" i="4" l="1"/>
  <c r="E67" i="52" l="1"/>
  <c r="D67" i="52"/>
  <c r="E66" i="52"/>
  <c r="D66" i="52"/>
  <c r="E65" i="52"/>
  <c r="D65" i="52"/>
  <c r="E64" i="52"/>
  <c r="D64" i="52"/>
  <c r="E63" i="52"/>
  <c r="D63" i="52"/>
  <c r="E62" i="52"/>
  <c r="D62" i="52"/>
  <c r="E61" i="52"/>
  <c r="D61" i="52"/>
  <c r="E60" i="52"/>
  <c r="D60" i="52"/>
  <c r="E59" i="52"/>
  <c r="D59" i="52"/>
  <c r="E58" i="52"/>
  <c r="D58" i="52"/>
  <c r="E57" i="52"/>
  <c r="D57" i="52"/>
  <c r="E56" i="52"/>
  <c r="D56" i="52"/>
  <c r="E55" i="52"/>
  <c r="D55" i="52"/>
  <c r="E54" i="52"/>
  <c r="D54" i="52"/>
  <c r="E53" i="52"/>
  <c r="D53" i="52"/>
  <c r="E52" i="52"/>
  <c r="D52" i="52"/>
  <c r="E87" i="52"/>
  <c r="E86" i="52"/>
  <c r="E85" i="52"/>
  <c r="E84" i="52"/>
  <c r="E83" i="52"/>
  <c r="E82" i="52"/>
  <c r="E81" i="52"/>
  <c r="E80" i="52"/>
  <c r="E79" i="52"/>
  <c r="E78" i="52"/>
  <c r="E77" i="52"/>
  <c r="E76" i="52"/>
  <c r="E75" i="52"/>
  <c r="E74" i="52"/>
  <c r="E73" i="52"/>
  <c r="E72" i="52"/>
  <c r="E71" i="52"/>
  <c r="E70" i="52"/>
  <c r="E69" i="52"/>
  <c r="E68" i="52"/>
  <c r="D87" i="52"/>
  <c r="D86" i="52"/>
  <c r="D85" i="52"/>
  <c r="D84" i="52"/>
  <c r="D83" i="52"/>
  <c r="D82" i="52"/>
  <c r="D81" i="52"/>
  <c r="D80" i="52"/>
  <c r="D79" i="52"/>
  <c r="D78" i="52"/>
  <c r="D77" i="52"/>
  <c r="D76" i="52"/>
  <c r="D75" i="52"/>
  <c r="D74" i="52"/>
  <c r="D73" i="52"/>
  <c r="D72" i="52"/>
  <c r="D71" i="52"/>
  <c r="D70" i="52"/>
  <c r="D69" i="52"/>
  <c r="D68" i="52"/>
  <c r="E32" i="4" l="1"/>
  <c r="E31" i="4"/>
  <c r="E30" i="4"/>
  <c r="L10" i="50" l="1"/>
  <c r="E46" i="5" l="1"/>
  <c r="E45" i="5"/>
  <c r="E44" i="5"/>
  <c r="E43" i="5"/>
  <c r="E38" i="5"/>
  <c r="E37" i="5"/>
  <c r="E36" i="5"/>
  <c r="E35" i="5"/>
  <c r="E69" i="4"/>
  <c r="E68" i="4"/>
  <c r="E67" i="4"/>
  <c r="E66" i="4"/>
  <c r="E27" i="5"/>
  <c r="E26" i="5"/>
  <c r="E25" i="5"/>
  <c r="E24" i="5"/>
  <c r="G64" i="4"/>
  <c r="E63" i="4"/>
  <c r="E62" i="4"/>
  <c r="E61" i="4"/>
  <c r="E60" i="4"/>
  <c r="E20" i="5"/>
  <c r="E19" i="5"/>
  <c r="E18" i="5"/>
  <c r="E17" i="5"/>
  <c r="G58" i="4"/>
  <c r="E57" i="4"/>
  <c r="E56" i="4"/>
  <c r="E55" i="4"/>
  <c r="E54" i="4"/>
  <c r="E11" i="5"/>
  <c r="E10" i="5"/>
  <c r="E9" i="5"/>
  <c r="E8" i="5"/>
  <c r="E47" i="4"/>
  <c r="E46" i="4"/>
  <c r="E45" i="4"/>
  <c r="E44" i="4"/>
  <c r="E41" i="4"/>
  <c r="E40" i="4"/>
  <c r="E39" i="4"/>
  <c r="E38" i="4"/>
  <c r="E29" i="4"/>
  <c r="E26" i="4"/>
  <c r="E25" i="4"/>
  <c r="E24" i="4"/>
  <c r="E23" i="4"/>
  <c r="E18" i="4"/>
  <c r="E17" i="4"/>
  <c r="E16" i="4"/>
  <c r="E15" i="4"/>
  <c r="E11" i="4"/>
  <c r="E10" i="4"/>
  <c r="E9" i="4"/>
  <c r="E8" i="4"/>
  <c r="E18" i="3"/>
  <c r="E17" i="3"/>
  <c r="E16" i="3"/>
  <c r="E15" i="3"/>
  <c r="E12" i="3"/>
  <c r="E11" i="3"/>
  <c r="E10" i="3"/>
  <c r="E9" i="3"/>
  <c r="I41" i="72"/>
  <c r="G41" i="72"/>
  <c r="I15" i="72"/>
  <c r="G15" i="72"/>
  <c r="I14" i="72"/>
  <c r="G14" i="72"/>
  <c r="I41" i="71"/>
  <c r="G41" i="71"/>
  <c r="I15" i="71"/>
  <c r="G15" i="71"/>
  <c r="I14" i="71"/>
  <c r="G14" i="71"/>
  <c r="I41" i="70"/>
  <c r="G41" i="70"/>
  <c r="I15" i="70"/>
  <c r="G15" i="70"/>
  <c r="I14" i="70"/>
  <c r="G14" i="70"/>
  <c r="I41" i="69"/>
  <c r="G41" i="69"/>
  <c r="I15" i="69"/>
  <c r="G15" i="69"/>
  <c r="I14" i="69"/>
  <c r="G14" i="69"/>
  <c r="I41" i="68"/>
  <c r="G41" i="68"/>
  <c r="I15" i="68"/>
  <c r="G15" i="68"/>
  <c r="I14" i="68"/>
  <c r="G14" i="68"/>
  <c r="I41" i="67"/>
  <c r="G41" i="67"/>
  <c r="I15" i="67"/>
  <c r="G15" i="67"/>
  <c r="I14" i="67"/>
  <c r="G14" i="67"/>
  <c r="I41" i="66"/>
  <c r="G41" i="66"/>
  <c r="I15" i="66"/>
  <c r="G15" i="66"/>
  <c r="I14" i="66"/>
  <c r="G14" i="66"/>
  <c r="I41" i="65"/>
  <c r="G41" i="65"/>
  <c r="I15" i="65"/>
  <c r="G15" i="65"/>
  <c r="I14" i="65"/>
  <c r="G14" i="65"/>
  <c r="I41" i="5"/>
  <c r="G41" i="5"/>
  <c r="I15" i="5"/>
  <c r="G15" i="5"/>
  <c r="I14" i="5"/>
  <c r="G14" i="5"/>
  <c r="S8" i="55"/>
  <c r="R8" i="55"/>
  <c r="Q8" i="55"/>
  <c r="M15" i="55"/>
  <c r="L15" i="55"/>
  <c r="M14" i="55"/>
  <c r="L14" i="55"/>
  <c r="M13" i="55"/>
  <c r="L13" i="55"/>
  <c r="M12" i="55"/>
  <c r="L12" i="55"/>
  <c r="M11" i="55"/>
  <c r="L11" i="55"/>
  <c r="M10" i="55"/>
  <c r="L10" i="55"/>
  <c r="M9" i="55"/>
  <c r="L9" i="55"/>
  <c r="M8" i="55"/>
  <c r="L8" i="55"/>
  <c r="I52" i="4"/>
  <c r="G52" i="4"/>
  <c r="I42" i="4"/>
  <c r="G42" i="4"/>
  <c r="I36" i="4"/>
  <c r="G36" i="4"/>
  <c r="I35" i="4"/>
  <c r="G35" i="4"/>
  <c r="I34" i="4"/>
  <c r="G34" i="4"/>
  <c r="I33" i="4"/>
  <c r="G33" i="4"/>
  <c r="I27" i="4"/>
  <c r="I21" i="4"/>
  <c r="G21" i="4"/>
  <c r="I20" i="4"/>
  <c r="G20" i="4"/>
  <c r="I19" i="4"/>
  <c r="G19" i="4"/>
  <c r="I13" i="4"/>
  <c r="G13" i="4"/>
  <c r="I12" i="4"/>
  <c r="G12" i="4"/>
  <c r="G14" i="3"/>
  <c r="AB14" i="3" s="1"/>
  <c r="G8" i="3"/>
  <c r="M14" i="50"/>
  <c r="L14" i="50"/>
  <c r="M12" i="50"/>
  <c r="L12" i="50"/>
  <c r="M10" i="50"/>
  <c r="M8" i="50"/>
  <c r="L8" i="50"/>
  <c r="E8" i="58"/>
  <c r="L11" i="39"/>
  <c r="J11" i="39"/>
  <c r="L10" i="39"/>
  <c r="J10" i="39"/>
  <c r="L9" i="39"/>
  <c r="J9" i="39"/>
  <c r="L8" i="39"/>
  <c r="J8" i="39"/>
  <c r="I11" i="34"/>
  <c r="I10" i="34"/>
  <c r="E11" i="34"/>
  <c r="E10" i="34"/>
  <c r="I9" i="34"/>
  <c r="I8" i="34"/>
  <c r="E9" i="34"/>
  <c r="E8" i="34"/>
  <c r="J9" i="51"/>
  <c r="I9" i="51"/>
  <c r="H9" i="51"/>
  <c r="G9" i="51"/>
  <c r="J8" i="51"/>
  <c r="I8" i="51"/>
  <c r="H8" i="51"/>
  <c r="G8" i="51"/>
  <c r="H9" i="2"/>
  <c r="G9" i="2"/>
  <c r="E9" i="2"/>
  <c r="H8" i="2"/>
  <c r="G8" i="2"/>
  <c r="E8" i="2"/>
  <c r="E9" i="26"/>
  <c r="D9" i="26"/>
  <c r="I8" i="26"/>
  <c r="H8" i="26" s="1"/>
  <c r="E8" i="26"/>
  <c r="D8" i="26"/>
  <c r="D9" i="2"/>
  <c r="B9" i="2"/>
  <c r="D8" i="2"/>
  <c r="B8" i="2"/>
  <c r="B80" i="54" l="1"/>
  <c r="B20" i="53"/>
  <c r="B24" i="53"/>
  <c r="B28" i="53"/>
  <c r="B82" i="54"/>
  <c r="B86" i="54"/>
  <c r="B71" i="54"/>
  <c r="B75" i="54"/>
  <c r="B79" i="54"/>
  <c r="B62" i="54"/>
  <c r="B66" i="54"/>
  <c r="B47" i="54"/>
  <c r="B51" i="54"/>
  <c r="B55" i="54"/>
  <c r="B39" i="54"/>
  <c r="B43" i="54"/>
  <c r="B30" i="54"/>
  <c r="B34" i="54"/>
  <c r="B38" i="54"/>
  <c r="B20" i="54"/>
  <c r="B24" i="54"/>
  <c r="B28" i="54"/>
  <c r="B36" i="54"/>
  <c r="B22" i="54"/>
  <c r="B27" i="53"/>
  <c r="B81" i="54"/>
  <c r="B78" i="54"/>
  <c r="B61" i="54"/>
  <c r="B50" i="54"/>
  <c r="B58" i="54"/>
  <c r="B33" i="54"/>
  <c r="B23" i="54"/>
  <c r="B27" i="54"/>
  <c r="B21" i="53"/>
  <c r="B25" i="53"/>
  <c r="B83" i="54"/>
  <c r="B87" i="54"/>
  <c r="B72" i="54"/>
  <c r="B76" i="54"/>
  <c r="B59" i="54"/>
  <c r="B63" i="54"/>
  <c r="B67" i="54"/>
  <c r="B48" i="54"/>
  <c r="B52" i="54"/>
  <c r="B56" i="54"/>
  <c r="B40" i="54"/>
  <c r="B44" i="54"/>
  <c r="B31" i="54"/>
  <c r="B35" i="54"/>
  <c r="B17" i="54"/>
  <c r="B21" i="54"/>
  <c r="B25" i="54"/>
  <c r="B29" i="54"/>
  <c r="B32" i="54"/>
  <c r="B26" i="54"/>
  <c r="B23" i="53"/>
  <c r="B85" i="54"/>
  <c r="B74" i="54"/>
  <c r="B65" i="54"/>
  <c r="B54" i="54"/>
  <c r="B46" i="54"/>
  <c r="B19" i="54"/>
  <c r="B22" i="53"/>
  <c r="B26" i="53"/>
  <c r="B84" i="54"/>
  <c r="B88" i="54"/>
  <c r="B73" i="54"/>
  <c r="B77" i="54"/>
  <c r="B60" i="54"/>
  <c r="B64" i="54"/>
  <c r="B68" i="54"/>
  <c r="B49" i="54"/>
  <c r="B53" i="54"/>
  <c r="B57" i="54"/>
  <c r="B41" i="54"/>
  <c r="B45" i="54"/>
  <c r="B18" i="54"/>
  <c r="B70" i="54"/>
  <c r="B69" i="54"/>
  <c r="B42" i="54"/>
  <c r="B37" i="54"/>
  <c r="B9" i="53"/>
  <c r="B14" i="53"/>
  <c r="B18" i="53"/>
  <c r="B10" i="39"/>
  <c r="B11" i="37"/>
  <c r="B15" i="37"/>
  <c r="B9" i="34"/>
  <c r="B10" i="47"/>
  <c r="B10" i="44"/>
  <c r="B9" i="52"/>
  <c r="B20" i="24"/>
  <c r="B24" i="24"/>
  <c r="B9" i="24"/>
  <c r="B13" i="24"/>
  <c r="B17" i="24"/>
  <c r="B17" i="53"/>
  <c r="B9" i="47"/>
  <c r="B23" i="24"/>
  <c r="B16" i="24"/>
  <c r="B10" i="53"/>
  <c r="B15" i="53"/>
  <c r="B19" i="53"/>
  <c r="B11" i="39"/>
  <c r="B12" i="37"/>
  <c r="B16" i="37"/>
  <c r="B10" i="34"/>
  <c r="B11" i="47"/>
  <c r="B11" i="44"/>
  <c r="B10" i="52"/>
  <c r="B21" i="24"/>
  <c r="B25" i="24"/>
  <c r="B10" i="24"/>
  <c r="B14" i="24"/>
  <c r="B18" i="24"/>
  <c r="B14" i="37"/>
  <c r="B13" i="44"/>
  <c r="B27" i="24"/>
  <c r="B11" i="53"/>
  <c r="B16" i="53"/>
  <c r="B9" i="51"/>
  <c r="B9" i="37"/>
  <c r="B13" i="37"/>
  <c r="B17" i="37"/>
  <c r="B11" i="34"/>
  <c r="B12" i="47"/>
  <c r="B12" i="44"/>
  <c r="B22" i="24"/>
  <c r="B26" i="24"/>
  <c r="B11" i="24"/>
  <c r="B15" i="24"/>
  <c r="B13" i="53"/>
  <c r="B9" i="39"/>
  <c r="B10" i="37"/>
  <c r="B18" i="37"/>
  <c r="B9" i="44"/>
  <c r="B19" i="24"/>
  <c r="B12" i="24"/>
  <c r="B8" i="44"/>
  <c r="B8" i="47"/>
  <c r="B50" i="52"/>
  <c r="B80" i="52"/>
  <c r="B84" i="52"/>
  <c r="B69" i="52"/>
  <c r="B73" i="52"/>
  <c r="B77" i="52"/>
  <c r="B60" i="52"/>
  <c r="B64" i="52"/>
  <c r="B68" i="52"/>
  <c r="B54" i="52"/>
  <c r="B58" i="52"/>
  <c r="B85" i="52"/>
  <c r="B70" i="52"/>
  <c r="B74" i="52"/>
  <c r="B78" i="52"/>
  <c r="B65" i="52"/>
  <c r="B51" i="52"/>
  <c r="B55" i="52"/>
  <c r="B82" i="52"/>
  <c r="B71" i="52"/>
  <c r="B79" i="52"/>
  <c r="B62" i="52"/>
  <c r="B52" i="52"/>
  <c r="B56" i="52"/>
  <c r="B87" i="52"/>
  <c r="B63" i="52"/>
  <c r="B57" i="52"/>
  <c r="B81" i="52"/>
  <c r="B61" i="52"/>
  <c r="B86" i="52"/>
  <c r="B75" i="52"/>
  <c r="B66" i="52"/>
  <c r="B83" i="52"/>
  <c r="B72" i="52"/>
  <c r="B59" i="52"/>
  <c r="B67" i="52"/>
  <c r="B53" i="52"/>
  <c r="B76" i="52"/>
  <c r="B11" i="55"/>
  <c r="B15" i="55"/>
  <c r="B18" i="3"/>
  <c r="B10" i="49"/>
  <c r="B14" i="49"/>
  <c r="B16" i="47"/>
  <c r="B17" i="44"/>
  <c r="B40" i="24"/>
  <c r="B44" i="24"/>
  <c r="B29" i="24"/>
  <c r="B33" i="24"/>
  <c r="B37" i="24"/>
  <c r="B17" i="3"/>
  <c r="B16" i="44"/>
  <c r="B43" i="24"/>
  <c r="B36" i="24"/>
  <c r="B12" i="55"/>
  <c r="B15" i="3"/>
  <c r="B19" i="51"/>
  <c r="B11" i="49"/>
  <c r="B15" i="49"/>
  <c r="B17" i="47"/>
  <c r="B18" i="44"/>
  <c r="B41" i="24"/>
  <c r="B45" i="24"/>
  <c r="B30" i="24"/>
  <c r="B34" i="24"/>
  <c r="B38" i="24"/>
  <c r="B10" i="55"/>
  <c r="B13" i="49"/>
  <c r="B39" i="24"/>
  <c r="B32" i="24"/>
  <c r="B9" i="55"/>
  <c r="B13" i="55"/>
  <c r="B16" i="3"/>
  <c r="B11" i="51"/>
  <c r="B20" i="51"/>
  <c r="B12" i="49"/>
  <c r="B14" i="47"/>
  <c r="B15" i="44"/>
  <c r="B19" i="44"/>
  <c r="B42" i="24"/>
  <c r="B46" i="24"/>
  <c r="B31" i="24"/>
  <c r="B35" i="24"/>
  <c r="B14" i="55"/>
  <c r="B15" i="47"/>
  <c r="B47" i="24"/>
  <c r="B13" i="47"/>
  <c r="Q8" i="3"/>
  <c r="AB8" i="3"/>
  <c r="X43" i="72" l="1"/>
  <c r="X44" i="72" s="1"/>
  <c r="X45" i="72" s="1"/>
  <c r="X46" i="72" s="1"/>
  <c r="X43" i="71"/>
  <c r="X44" i="71" s="1"/>
  <c r="X45" i="71" s="1"/>
  <c r="X46" i="71" s="1"/>
  <c r="X43" i="70"/>
  <c r="X44" i="70" s="1"/>
  <c r="X45" i="70" s="1"/>
  <c r="X46" i="70" s="1"/>
  <c r="X43" i="69"/>
  <c r="X44" i="69" s="1"/>
  <c r="X45" i="69" s="1"/>
  <c r="X46" i="69" s="1"/>
  <c r="X43" i="68"/>
  <c r="X44" i="68" s="1"/>
  <c r="X45" i="68" s="1"/>
  <c r="X46" i="68" s="1"/>
  <c r="X43" i="67"/>
  <c r="X44" i="67" s="1"/>
  <c r="X45" i="67" s="1"/>
  <c r="X46" i="67" s="1"/>
  <c r="X43" i="66"/>
  <c r="X44" i="66" s="1"/>
  <c r="X45" i="66" s="1"/>
  <c r="X46" i="66" s="1"/>
  <c r="X43" i="65"/>
  <c r="X43" i="5"/>
  <c r="P46" i="72" l="1"/>
  <c r="P45" i="72"/>
  <c r="P44" i="72"/>
  <c r="P43" i="72"/>
  <c r="P46" i="71"/>
  <c r="P45" i="71"/>
  <c r="P44" i="71"/>
  <c r="P43" i="71"/>
  <c r="P46" i="70"/>
  <c r="P45" i="70"/>
  <c r="P44" i="70"/>
  <c r="P43" i="70"/>
  <c r="P46" i="69"/>
  <c r="P45" i="69"/>
  <c r="P44" i="69"/>
  <c r="P43" i="69"/>
  <c r="P46" i="68"/>
  <c r="P45" i="68"/>
  <c r="P44" i="68"/>
  <c r="P43" i="68"/>
  <c r="P46" i="67"/>
  <c r="P45" i="67"/>
  <c r="P44" i="67"/>
  <c r="P43" i="67"/>
  <c r="P46" i="66"/>
  <c r="P45" i="66"/>
  <c r="P44" i="66"/>
  <c r="P43" i="66"/>
  <c r="P46" i="65"/>
  <c r="P45" i="65"/>
  <c r="P44" i="65"/>
  <c r="P43" i="65"/>
  <c r="P46" i="5"/>
  <c r="P45" i="5"/>
  <c r="P44" i="5"/>
  <c r="P43" i="5"/>
  <c r="O10" i="50" l="1"/>
  <c r="O12" i="50" s="1"/>
  <c r="O14" i="50" s="1"/>
  <c r="C9" i="51" l="1"/>
  <c r="O9" i="50"/>
  <c r="O11" i="50" s="1"/>
  <c r="O13" i="50" s="1"/>
  <c r="O15" i="50" s="1"/>
  <c r="F9" i="26"/>
  <c r="F8" i="26"/>
  <c r="P38" i="72" l="1"/>
  <c r="P37" i="72"/>
  <c r="P36" i="72"/>
  <c r="P35" i="72"/>
  <c r="P34" i="72"/>
  <c r="P33" i="72"/>
  <c r="P32" i="72"/>
  <c r="P31" i="72"/>
  <c r="P27" i="72"/>
  <c r="P26" i="72"/>
  <c r="P25" i="72"/>
  <c r="P24" i="72"/>
  <c r="P20" i="72"/>
  <c r="P19" i="72"/>
  <c r="P18" i="72"/>
  <c r="P17" i="72"/>
  <c r="P11" i="72"/>
  <c r="P10" i="72"/>
  <c r="P9" i="72"/>
  <c r="P8" i="72"/>
  <c r="P38" i="71"/>
  <c r="P37" i="71"/>
  <c r="P36" i="71"/>
  <c r="P35" i="71"/>
  <c r="P34" i="71"/>
  <c r="P33" i="71"/>
  <c r="P32" i="71"/>
  <c r="P31" i="71"/>
  <c r="P27" i="71"/>
  <c r="P26" i="71"/>
  <c r="P25" i="71"/>
  <c r="P24" i="71"/>
  <c r="P20" i="71"/>
  <c r="P19" i="71"/>
  <c r="P18" i="71"/>
  <c r="P17" i="71"/>
  <c r="P11" i="71"/>
  <c r="P10" i="71"/>
  <c r="P9" i="71"/>
  <c r="P8" i="71"/>
  <c r="P38" i="70"/>
  <c r="P37" i="70"/>
  <c r="P36" i="70"/>
  <c r="P35" i="70"/>
  <c r="P34" i="70"/>
  <c r="P33" i="70"/>
  <c r="P32" i="70"/>
  <c r="P31" i="70"/>
  <c r="P27" i="70"/>
  <c r="P26" i="70"/>
  <c r="P25" i="70"/>
  <c r="P24" i="70"/>
  <c r="P20" i="70"/>
  <c r="P19" i="70"/>
  <c r="P18" i="70"/>
  <c r="P17" i="70"/>
  <c r="P11" i="70"/>
  <c r="P10" i="70"/>
  <c r="P9" i="70"/>
  <c r="P8" i="70"/>
  <c r="P38" i="69"/>
  <c r="P37" i="69"/>
  <c r="P36" i="69"/>
  <c r="P35" i="69"/>
  <c r="P34" i="69"/>
  <c r="P33" i="69"/>
  <c r="P32" i="69"/>
  <c r="P31" i="69"/>
  <c r="P27" i="69"/>
  <c r="P26" i="69"/>
  <c r="P25" i="69"/>
  <c r="P24" i="69"/>
  <c r="P20" i="69"/>
  <c r="P19" i="69"/>
  <c r="P18" i="69"/>
  <c r="P17" i="69"/>
  <c r="P11" i="69"/>
  <c r="P10" i="69"/>
  <c r="P9" i="69"/>
  <c r="P8" i="69"/>
  <c r="P38" i="68"/>
  <c r="P37" i="68"/>
  <c r="P36" i="68"/>
  <c r="P35" i="68"/>
  <c r="P34" i="68"/>
  <c r="P33" i="68"/>
  <c r="P32" i="68"/>
  <c r="P31" i="68"/>
  <c r="P27" i="68"/>
  <c r="P26" i="68"/>
  <c r="P25" i="68"/>
  <c r="P24" i="68"/>
  <c r="P20" i="68"/>
  <c r="P19" i="68"/>
  <c r="P18" i="68"/>
  <c r="P17" i="68"/>
  <c r="P11" i="68"/>
  <c r="P10" i="68"/>
  <c r="P9" i="68"/>
  <c r="P8" i="68"/>
  <c r="P38" i="67"/>
  <c r="P37" i="67"/>
  <c r="P36" i="67"/>
  <c r="P35" i="67"/>
  <c r="P34" i="67"/>
  <c r="P33" i="67"/>
  <c r="P32" i="67"/>
  <c r="P31" i="67"/>
  <c r="P27" i="67"/>
  <c r="P26" i="67"/>
  <c r="P25" i="67"/>
  <c r="P24" i="67"/>
  <c r="P20" i="67"/>
  <c r="P19" i="67"/>
  <c r="P18" i="67"/>
  <c r="P17" i="67"/>
  <c r="P11" i="67"/>
  <c r="P10" i="67"/>
  <c r="P9" i="67"/>
  <c r="P8" i="67"/>
  <c r="P38" i="66"/>
  <c r="P37" i="66"/>
  <c r="P36" i="66"/>
  <c r="P35" i="66"/>
  <c r="P34" i="66"/>
  <c r="P33" i="66"/>
  <c r="P32" i="66"/>
  <c r="P31" i="66"/>
  <c r="P27" i="66"/>
  <c r="P26" i="66"/>
  <c r="P25" i="66"/>
  <c r="P24" i="66"/>
  <c r="P20" i="66"/>
  <c r="P19" i="66"/>
  <c r="P18" i="66"/>
  <c r="P17" i="66"/>
  <c r="P11" i="66"/>
  <c r="P10" i="66"/>
  <c r="P9" i="66"/>
  <c r="P8" i="66"/>
  <c r="P38" i="65"/>
  <c r="P37" i="65"/>
  <c r="P36" i="65"/>
  <c r="P35" i="65"/>
  <c r="P34" i="65"/>
  <c r="P33" i="65"/>
  <c r="P32" i="65"/>
  <c r="P31" i="65"/>
  <c r="P27" i="65"/>
  <c r="P26" i="65"/>
  <c r="P25" i="65"/>
  <c r="P24" i="65"/>
  <c r="P20" i="65"/>
  <c r="P19" i="65"/>
  <c r="P18" i="65"/>
  <c r="P17" i="65"/>
  <c r="P11" i="65"/>
  <c r="P10" i="65"/>
  <c r="P9" i="65"/>
  <c r="P8" i="65"/>
  <c r="P38" i="5"/>
  <c r="P37" i="5"/>
  <c r="P36" i="5"/>
  <c r="P35" i="5"/>
  <c r="P34" i="5"/>
  <c r="P33" i="5"/>
  <c r="P32" i="5"/>
  <c r="P31" i="5"/>
  <c r="P27" i="5"/>
  <c r="P26" i="5"/>
  <c r="P25" i="5"/>
  <c r="P24" i="5"/>
  <c r="P20" i="5"/>
  <c r="P19" i="5"/>
  <c r="P18" i="5"/>
  <c r="P17" i="5"/>
  <c r="P11" i="5"/>
  <c r="P10" i="5"/>
  <c r="P9" i="5"/>
  <c r="P8" i="5"/>
  <c r="M69" i="4"/>
  <c r="M68" i="4"/>
  <c r="M67" i="4"/>
  <c r="M66" i="4"/>
  <c r="M63" i="4"/>
  <c r="M62" i="4"/>
  <c r="M61" i="4"/>
  <c r="M60" i="4"/>
  <c r="M57" i="4"/>
  <c r="M56" i="4"/>
  <c r="M55" i="4"/>
  <c r="M54" i="4"/>
  <c r="M47" i="4"/>
  <c r="M46" i="4"/>
  <c r="M45" i="4"/>
  <c r="M44" i="4"/>
  <c r="M41" i="4"/>
  <c r="M40" i="4"/>
  <c r="M39" i="4"/>
  <c r="M38" i="4"/>
  <c r="M32" i="4"/>
  <c r="M31" i="4"/>
  <c r="M30" i="4"/>
  <c r="M29" i="4"/>
  <c r="M26" i="4"/>
  <c r="M25" i="4"/>
  <c r="M24" i="4"/>
  <c r="M23" i="4"/>
  <c r="M18" i="4"/>
  <c r="M17" i="4"/>
  <c r="M16" i="4"/>
  <c r="M15" i="4"/>
  <c r="M11" i="4"/>
  <c r="M10" i="4"/>
  <c r="M9" i="4"/>
  <c r="M8" i="4"/>
  <c r="M18" i="3"/>
  <c r="M17" i="3"/>
  <c r="M16" i="3"/>
  <c r="M15" i="3"/>
  <c r="M12" i="3"/>
  <c r="M11" i="3"/>
  <c r="M10" i="3"/>
  <c r="M9" i="3"/>
  <c r="C10" i="51" l="1"/>
  <c r="C19" i="51"/>
  <c r="C20" i="51" s="1"/>
  <c r="C21" i="51" s="1"/>
  <c r="C22" i="51" s="1"/>
  <c r="C23" i="51" s="1"/>
  <c r="C24" i="51" s="1"/>
  <c r="C25" i="51" s="1"/>
  <c r="C26" i="51" s="1"/>
  <c r="C27" i="51" s="1"/>
  <c r="C11" i="51" l="1"/>
  <c r="C12" i="51"/>
  <c r="W11" i="72"/>
  <c r="W10" i="72"/>
  <c r="W9" i="72"/>
  <c r="W8" i="72"/>
  <c r="C13" i="51" l="1"/>
  <c r="C15" i="51" s="1"/>
  <c r="C17" i="51" s="1"/>
  <c r="C14" i="51"/>
  <c r="C16" i="51" s="1"/>
  <c r="C18" i="51" s="1"/>
  <c r="Y46" i="72"/>
  <c r="N46" i="72"/>
  <c r="H46" i="72"/>
  <c r="Y45" i="72"/>
  <c r="N45" i="72"/>
  <c r="H45" i="72"/>
  <c r="Y44" i="72"/>
  <c r="U44" i="72"/>
  <c r="U45" i="72" s="1"/>
  <c r="U46" i="72" s="1"/>
  <c r="N44" i="72"/>
  <c r="H44" i="72"/>
  <c r="AI43" i="72"/>
  <c r="Y43" i="72"/>
  <c r="H43" i="72"/>
  <c r="AB41" i="72"/>
  <c r="P41" i="72"/>
  <c r="P40" i="72"/>
  <c r="N40" i="72"/>
  <c r="N41" i="72" s="1"/>
  <c r="H40" i="72"/>
  <c r="P39" i="72"/>
  <c r="H39" i="72"/>
  <c r="Y38" i="72"/>
  <c r="H38" i="72"/>
  <c r="Y37" i="72"/>
  <c r="N37" i="72"/>
  <c r="H37" i="72"/>
  <c r="Y36" i="72"/>
  <c r="H36" i="72"/>
  <c r="Y35" i="72"/>
  <c r="H35" i="72"/>
  <c r="Y34" i="72"/>
  <c r="U34" i="72"/>
  <c r="U35" i="72" s="1"/>
  <c r="U36" i="72" s="1"/>
  <c r="U37" i="72" s="1"/>
  <c r="U38" i="72" s="1"/>
  <c r="N34" i="72"/>
  <c r="H34" i="72"/>
  <c r="Y33" i="72"/>
  <c r="U33" i="72"/>
  <c r="T33" i="72"/>
  <c r="T34" i="72" s="1"/>
  <c r="T35" i="72" s="1"/>
  <c r="T36" i="72" s="1"/>
  <c r="T37" i="72" s="1"/>
  <c r="T38" i="72" s="1"/>
  <c r="N33" i="72"/>
  <c r="N36" i="72" s="1"/>
  <c r="H33" i="72"/>
  <c r="Y32" i="72"/>
  <c r="X32" i="72"/>
  <c r="X33" i="72" s="1"/>
  <c r="X34" i="72" s="1"/>
  <c r="U32" i="72"/>
  <c r="T32" i="72"/>
  <c r="S32" i="72"/>
  <c r="S33" i="72" s="1"/>
  <c r="S34" i="72" s="1"/>
  <c r="S35" i="72" s="1"/>
  <c r="S36" i="72" s="1"/>
  <c r="S37" i="72" s="1"/>
  <c r="S38" i="72" s="1"/>
  <c r="N32" i="72"/>
  <c r="N35" i="72" s="1"/>
  <c r="N38" i="72" s="1"/>
  <c r="H32" i="72"/>
  <c r="AI31" i="72"/>
  <c r="AI41" i="72" s="1"/>
  <c r="AG31" i="72"/>
  <c r="AF31" i="72"/>
  <c r="AB31" i="72"/>
  <c r="AA31" i="72"/>
  <c r="AA41" i="72" s="1"/>
  <c r="Y31" i="72"/>
  <c r="T31" i="72"/>
  <c r="S31" i="72"/>
  <c r="R31" i="72"/>
  <c r="R32" i="72" s="1"/>
  <c r="R33" i="72" s="1"/>
  <c r="R34" i="72" s="1"/>
  <c r="R35" i="72" s="1"/>
  <c r="R36" i="72" s="1"/>
  <c r="R37" i="72" s="1"/>
  <c r="R38" i="72" s="1"/>
  <c r="H31" i="72"/>
  <c r="P29" i="72"/>
  <c r="N29" i="72"/>
  <c r="P28" i="72"/>
  <c r="Y27" i="72"/>
  <c r="W27" i="72"/>
  <c r="N27" i="72"/>
  <c r="Y26" i="72"/>
  <c r="W26" i="72"/>
  <c r="N26" i="72"/>
  <c r="Y25" i="72"/>
  <c r="X25" i="72"/>
  <c r="X26" i="72" s="1"/>
  <c r="X27" i="72" s="1"/>
  <c r="W25" i="72"/>
  <c r="V25" i="72"/>
  <c r="V26" i="72" s="1"/>
  <c r="V27" i="72" s="1"/>
  <c r="U25" i="72"/>
  <c r="U26" i="72" s="1"/>
  <c r="U27" i="72" s="1"/>
  <c r="S25" i="72"/>
  <c r="S26" i="72" s="1"/>
  <c r="S27" i="72" s="1"/>
  <c r="R25" i="72"/>
  <c r="R26" i="72" s="1"/>
  <c r="R27" i="72" s="1"/>
  <c r="N25" i="72"/>
  <c r="AI24" i="72"/>
  <c r="AG24" i="72"/>
  <c r="AF24" i="72"/>
  <c r="AE24" i="72"/>
  <c r="AD24" i="72"/>
  <c r="AB24" i="72"/>
  <c r="AA24" i="72"/>
  <c r="Y24" i="72"/>
  <c r="W24" i="72"/>
  <c r="T24" i="72"/>
  <c r="T25" i="72" s="1"/>
  <c r="T26" i="72" s="1"/>
  <c r="T27" i="72" s="1"/>
  <c r="S24" i="72"/>
  <c r="R24" i="72"/>
  <c r="P22" i="72"/>
  <c r="N22" i="72"/>
  <c r="P21" i="72"/>
  <c r="W20" i="72"/>
  <c r="N20" i="72"/>
  <c r="W19" i="72"/>
  <c r="V19" i="72"/>
  <c r="V20" i="72" s="1"/>
  <c r="N19" i="72"/>
  <c r="X18" i="72"/>
  <c r="X19" i="72" s="1"/>
  <c r="X20" i="72" s="1"/>
  <c r="W18" i="72"/>
  <c r="V18" i="72"/>
  <c r="U18" i="72"/>
  <c r="U19" i="72" s="1"/>
  <c r="U20" i="72" s="1"/>
  <c r="T18" i="72"/>
  <c r="T19" i="72" s="1"/>
  <c r="T20" i="72" s="1"/>
  <c r="T43" i="72" s="1"/>
  <c r="T44" i="72" s="1"/>
  <c r="T45" i="72" s="1"/>
  <c r="T46" i="72" s="1"/>
  <c r="N18" i="72"/>
  <c r="AI17" i="72"/>
  <c r="AE17" i="72"/>
  <c r="AD17" i="72"/>
  <c r="AB17" i="72"/>
  <c r="AA17" i="72"/>
  <c r="Z17" i="72"/>
  <c r="Z24" i="72" s="1"/>
  <c r="Z31" i="72" s="1"/>
  <c r="Z43" i="72" s="1"/>
  <c r="W17" i="72"/>
  <c r="T17" i="72"/>
  <c r="S17" i="72"/>
  <c r="S18" i="72" s="1"/>
  <c r="S19" i="72" s="1"/>
  <c r="S20" i="72" s="1"/>
  <c r="S43" i="72" s="1"/>
  <c r="S44" i="72" s="1"/>
  <c r="S45" i="72" s="1"/>
  <c r="S46" i="72" s="1"/>
  <c r="R17" i="72"/>
  <c r="R18" i="72" s="1"/>
  <c r="R19" i="72" s="1"/>
  <c r="R20" i="72" s="1"/>
  <c r="R43" i="72" s="1"/>
  <c r="R44" i="72" s="1"/>
  <c r="R45" i="72" s="1"/>
  <c r="R46" i="72" s="1"/>
  <c r="AI15" i="72"/>
  <c r="P15" i="72"/>
  <c r="N15" i="72"/>
  <c r="AI14" i="72"/>
  <c r="P14" i="72"/>
  <c r="N14" i="72"/>
  <c r="P13" i="72"/>
  <c r="N13" i="72"/>
  <c r="P12" i="72"/>
  <c r="Y11" i="72"/>
  <c r="N11" i="72"/>
  <c r="Y10" i="72"/>
  <c r="N10" i="72"/>
  <c r="Y9" i="72"/>
  <c r="X9" i="72"/>
  <c r="X10" i="72" s="1"/>
  <c r="X11" i="72" s="1"/>
  <c r="V9" i="72"/>
  <c r="V10" i="72" s="1"/>
  <c r="V11" i="72" s="1"/>
  <c r="U9" i="72"/>
  <c r="U10" i="72" s="1"/>
  <c r="U11" i="72" s="1"/>
  <c r="T9" i="72"/>
  <c r="T10" i="72" s="1"/>
  <c r="T11" i="72" s="1"/>
  <c r="S9" i="72"/>
  <c r="S10" i="72" s="1"/>
  <c r="S11" i="72" s="1"/>
  <c r="R9" i="72"/>
  <c r="R10" i="72" s="1"/>
  <c r="R11" i="72" s="1"/>
  <c r="N9" i="72"/>
  <c r="AI8" i="72"/>
  <c r="AG8" i="72"/>
  <c r="AF8" i="72"/>
  <c r="AE8" i="72"/>
  <c r="AD8" i="72"/>
  <c r="AB8" i="72"/>
  <c r="AB15" i="72" s="1"/>
  <c r="AA8" i="72"/>
  <c r="AA15" i="72" s="1"/>
  <c r="Y8" i="72"/>
  <c r="Y46" i="71"/>
  <c r="N46" i="71"/>
  <c r="H46" i="71"/>
  <c r="Y45" i="71"/>
  <c r="N45" i="71"/>
  <c r="H45" i="71"/>
  <c r="Y44" i="71"/>
  <c r="U44" i="71"/>
  <c r="U45" i="71" s="1"/>
  <c r="U46" i="71" s="1"/>
  <c r="N44" i="71"/>
  <c r="H44" i="71"/>
  <c r="AI43" i="71"/>
  <c r="Y43" i="71"/>
  <c r="H43" i="71"/>
  <c r="AB41" i="71"/>
  <c r="AA41" i="71"/>
  <c r="P41" i="71"/>
  <c r="P40" i="71"/>
  <c r="N40" i="71"/>
  <c r="N41" i="71" s="1"/>
  <c r="H40" i="71"/>
  <c r="P39" i="71"/>
  <c r="H39" i="71"/>
  <c r="Y38" i="71"/>
  <c r="H38" i="71"/>
  <c r="Y37" i="71"/>
  <c r="N37" i="71"/>
  <c r="H37" i="71"/>
  <c r="Y36" i="71"/>
  <c r="H36" i="71"/>
  <c r="Y35" i="71"/>
  <c r="H35" i="71"/>
  <c r="Y34" i="71"/>
  <c r="N34" i="71"/>
  <c r="H34" i="71"/>
  <c r="Y33" i="71"/>
  <c r="N33" i="71"/>
  <c r="N36" i="71" s="1"/>
  <c r="H33" i="71"/>
  <c r="Y32" i="71"/>
  <c r="X32" i="71"/>
  <c r="X33" i="71" s="1"/>
  <c r="X34" i="71" s="1"/>
  <c r="U32" i="71"/>
  <c r="U33" i="71" s="1"/>
  <c r="U34" i="71" s="1"/>
  <c r="U35" i="71" s="1"/>
  <c r="U36" i="71" s="1"/>
  <c r="U37" i="71" s="1"/>
  <c r="U38" i="71" s="1"/>
  <c r="S32" i="71"/>
  <c r="S33" i="71" s="1"/>
  <c r="S34" i="71" s="1"/>
  <c r="S35" i="71" s="1"/>
  <c r="S36" i="71" s="1"/>
  <c r="S37" i="71" s="1"/>
  <c r="S38" i="71" s="1"/>
  <c r="N32" i="71"/>
  <c r="N35" i="71" s="1"/>
  <c r="N38" i="71" s="1"/>
  <c r="H32" i="71"/>
  <c r="AI31" i="71"/>
  <c r="AI41" i="71" s="1"/>
  <c r="AG31" i="71"/>
  <c r="AF31" i="71"/>
  <c r="AB31" i="71"/>
  <c r="AA31" i="71"/>
  <c r="Y31" i="71"/>
  <c r="T31" i="71"/>
  <c r="T32" i="71" s="1"/>
  <c r="T33" i="71" s="1"/>
  <c r="T34" i="71" s="1"/>
  <c r="T35" i="71" s="1"/>
  <c r="T36" i="71" s="1"/>
  <c r="T37" i="71" s="1"/>
  <c r="T38" i="71" s="1"/>
  <c r="S31" i="71"/>
  <c r="R31" i="71"/>
  <c r="R32" i="71" s="1"/>
  <c r="R33" i="71" s="1"/>
  <c r="R34" i="71" s="1"/>
  <c r="R35" i="71" s="1"/>
  <c r="R36" i="71" s="1"/>
  <c r="R37" i="71" s="1"/>
  <c r="R38" i="71" s="1"/>
  <c r="H31" i="71"/>
  <c r="P29" i="71"/>
  <c r="N29" i="71"/>
  <c r="P28" i="71"/>
  <c r="Y27" i="71"/>
  <c r="W27" i="71"/>
  <c r="N27" i="71"/>
  <c r="Y26" i="71"/>
  <c r="W26" i="71"/>
  <c r="N26" i="71"/>
  <c r="Y25" i="71"/>
  <c r="X25" i="71"/>
  <c r="X26" i="71" s="1"/>
  <c r="X27" i="71" s="1"/>
  <c r="W25" i="71"/>
  <c r="V25" i="71"/>
  <c r="V26" i="71" s="1"/>
  <c r="V27" i="71" s="1"/>
  <c r="U25" i="71"/>
  <c r="U26" i="71" s="1"/>
  <c r="U27" i="71" s="1"/>
  <c r="S25" i="71"/>
  <c r="S26" i="71" s="1"/>
  <c r="S27" i="71" s="1"/>
  <c r="R25" i="71"/>
  <c r="R26" i="71" s="1"/>
  <c r="R27" i="71" s="1"/>
  <c r="N25" i="71"/>
  <c r="AI24" i="71"/>
  <c r="AG24" i="71"/>
  <c r="AF24" i="71"/>
  <c r="AE24" i="71"/>
  <c r="AD24" i="71"/>
  <c r="AB24" i="71"/>
  <c r="AA24" i="71"/>
  <c r="Y24" i="71"/>
  <c r="W24" i="71"/>
  <c r="T24" i="71"/>
  <c r="T25" i="71" s="1"/>
  <c r="T26" i="71" s="1"/>
  <c r="T27" i="71" s="1"/>
  <c r="S24" i="71"/>
  <c r="R24" i="71"/>
  <c r="P22" i="71"/>
  <c r="N22" i="71"/>
  <c r="P21" i="71"/>
  <c r="W20" i="71"/>
  <c r="N20" i="71"/>
  <c r="W19" i="71"/>
  <c r="V19" i="71"/>
  <c r="V20" i="71" s="1"/>
  <c r="N19" i="71"/>
  <c r="X18" i="71"/>
  <c r="X19" i="71" s="1"/>
  <c r="X20" i="71" s="1"/>
  <c r="W18" i="71"/>
  <c r="V18" i="71"/>
  <c r="U18" i="71"/>
  <c r="U19" i="71" s="1"/>
  <c r="U20" i="71" s="1"/>
  <c r="T18" i="71"/>
  <c r="T19" i="71" s="1"/>
  <c r="T20" i="71" s="1"/>
  <c r="T43" i="71" s="1"/>
  <c r="T44" i="71" s="1"/>
  <c r="T45" i="71" s="1"/>
  <c r="T46" i="71" s="1"/>
  <c r="N18" i="71"/>
  <c r="AI17" i="71"/>
  <c r="AE17" i="71"/>
  <c r="AD17" i="71"/>
  <c r="AB17" i="71"/>
  <c r="AA17" i="71"/>
  <c r="Z17" i="71"/>
  <c r="Z24" i="71" s="1"/>
  <c r="Z31" i="71" s="1"/>
  <c r="Z43" i="71" s="1"/>
  <c r="W17" i="71"/>
  <c r="T17" i="71"/>
  <c r="S17" i="71"/>
  <c r="S18" i="71" s="1"/>
  <c r="S19" i="71" s="1"/>
  <c r="S20" i="71" s="1"/>
  <c r="S43" i="71" s="1"/>
  <c r="S44" i="71" s="1"/>
  <c r="S45" i="71" s="1"/>
  <c r="S46" i="71" s="1"/>
  <c r="R17" i="71"/>
  <c r="R18" i="71" s="1"/>
  <c r="R19" i="71" s="1"/>
  <c r="R20" i="71" s="1"/>
  <c r="R43" i="71" s="1"/>
  <c r="R44" i="71" s="1"/>
  <c r="R45" i="71" s="1"/>
  <c r="R46" i="71" s="1"/>
  <c r="P15" i="71"/>
  <c r="N15" i="71"/>
  <c r="P14" i="71"/>
  <c r="N14" i="71"/>
  <c r="P13" i="71"/>
  <c r="N13" i="71"/>
  <c r="P12" i="71"/>
  <c r="Y11" i="71"/>
  <c r="W11" i="71"/>
  <c r="N11" i="71"/>
  <c r="Y10" i="71"/>
  <c r="W10" i="71"/>
  <c r="N10" i="71"/>
  <c r="Y9" i="71"/>
  <c r="X9" i="71"/>
  <c r="X10" i="71" s="1"/>
  <c r="X11" i="71" s="1"/>
  <c r="W9" i="71"/>
  <c r="V9" i="71"/>
  <c r="V10" i="71" s="1"/>
  <c r="V11" i="71" s="1"/>
  <c r="U9" i="71"/>
  <c r="U10" i="71" s="1"/>
  <c r="U11" i="71" s="1"/>
  <c r="T9" i="71"/>
  <c r="T10" i="71" s="1"/>
  <c r="T11" i="71" s="1"/>
  <c r="S9" i="71"/>
  <c r="S10" i="71" s="1"/>
  <c r="S11" i="71" s="1"/>
  <c r="R9" i="71"/>
  <c r="R10" i="71" s="1"/>
  <c r="R11" i="71" s="1"/>
  <c r="N9" i="71"/>
  <c r="AI8" i="71"/>
  <c r="AI15" i="71" s="1"/>
  <c r="AG8" i="71"/>
  <c r="AF8" i="71"/>
  <c r="AE8" i="71"/>
  <c r="AD8" i="71"/>
  <c r="AB8" i="71"/>
  <c r="AB15" i="71" s="1"/>
  <c r="AA8" i="71"/>
  <c r="AA15" i="71" s="1"/>
  <c r="Y8" i="71"/>
  <c r="W8" i="71"/>
  <c r="Y46" i="70"/>
  <c r="N46" i="70"/>
  <c r="H46" i="70"/>
  <c r="Y45" i="70"/>
  <c r="N45" i="70"/>
  <c r="H45" i="70"/>
  <c r="Y44" i="70"/>
  <c r="U44" i="70"/>
  <c r="U45" i="70" s="1"/>
  <c r="U46" i="70" s="1"/>
  <c r="N44" i="70"/>
  <c r="H44" i="70"/>
  <c r="AI43" i="70"/>
  <c r="Y43" i="70"/>
  <c r="H43" i="70"/>
  <c r="AB41" i="70"/>
  <c r="AA41" i="70"/>
  <c r="P41" i="70"/>
  <c r="P40" i="70"/>
  <c r="N40" i="70"/>
  <c r="N41" i="70" s="1"/>
  <c r="H40" i="70"/>
  <c r="P39" i="70"/>
  <c r="H39" i="70"/>
  <c r="Y38" i="70"/>
  <c r="H38" i="70"/>
  <c r="Y37" i="70"/>
  <c r="H37" i="70"/>
  <c r="Y36" i="70"/>
  <c r="H36" i="70"/>
  <c r="Y35" i="70"/>
  <c r="H35" i="70"/>
  <c r="Y34" i="70"/>
  <c r="N34" i="70"/>
  <c r="N37" i="70" s="1"/>
  <c r="H34" i="70"/>
  <c r="Y33" i="70"/>
  <c r="S33" i="70"/>
  <c r="S34" i="70" s="1"/>
  <c r="S35" i="70" s="1"/>
  <c r="S36" i="70" s="1"/>
  <c r="S37" i="70" s="1"/>
  <c r="S38" i="70" s="1"/>
  <c r="N33" i="70"/>
  <c r="N36" i="70" s="1"/>
  <c r="H33" i="70"/>
  <c r="Y32" i="70"/>
  <c r="X32" i="70"/>
  <c r="X33" i="70" s="1"/>
  <c r="X34" i="70" s="1"/>
  <c r="U32" i="70"/>
  <c r="U33" i="70" s="1"/>
  <c r="U34" i="70" s="1"/>
  <c r="U35" i="70" s="1"/>
  <c r="U36" i="70" s="1"/>
  <c r="U37" i="70" s="1"/>
  <c r="U38" i="70" s="1"/>
  <c r="S32" i="70"/>
  <c r="R32" i="70"/>
  <c r="R33" i="70" s="1"/>
  <c r="R34" i="70" s="1"/>
  <c r="R35" i="70" s="1"/>
  <c r="R36" i="70" s="1"/>
  <c r="R37" i="70" s="1"/>
  <c r="R38" i="70" s="1"/>
  <c r="N32" i="70"/>
  <c r="N35" i="70" s="1"/>
  <c r="N38" i="70" s="1"/>
  <c r="H32" i="70"/>
  <c r="AI31" i="70"/>
  <c r="AI41" i="70" s="1"/>
  <c r="AG31" i="70"/>
  <c r="AF31" i="70"/>
  <c r="AB31" i="70"/>
  <c r="AA31" i="70"/>
  <c r="Y31" i="70"/>
  <c r="T31" i="70"/>
  <c r="T32" i="70" s="1"/>
  <c r="T33" i="70" s="1"/>
  <c r="T34" i="70" s="1"/>
  <c r="T35" i="70" s="1"/>
  <c r="T36" i="70" s="1"/>
  <c r="T37" i="70" s="1"/>
  <c r="T38" i="70" s="1"/>
  <c r="S31" i="70"/>
  <c r="R31" i="70"/>
  <c r="H31" i="70"/>
  <c r="P29" i="70"/>
  <c r="N29" i="70"/>
  <c r="P28" i="70"/>
  <c r="Y27" i="70"/>
  <c r="W27" i="70"/>
  <c r="N27" i="70"/>
  <c r="Y26" i="70"/>
  <c r="W26" i="70"/>
  <c r="N26" i="70"/>
  <c r="Y25" i="70"/>
  <c r="X25" i="70"/>
  <c r="X26" i="70" s="1"/>
  <c r="X27" i="70" s="1"/>
  <c r="W25" i="70"/>
  <c r="V25" i="70"/>
  <c r="V26" i="70" s="1"/>
  <c r="V27" i="70" s="1"/>
  <c r="U25" i="70"/>
  <c r="U26" i="70" s="1"/>
  <c r="U27" i="70" s="1"/>
  <c r="R25" i="70"/>
  <c r="R26" i="70" s="1"/>
  <c r="R27" i="70" s="1"/>
  <c r="N25" i="70"/>
  <c r="AI24" i="70"/>
  <c r="AG24" i="70"/>
  <c r="AF24" i="70"/>
  <c r="AE24" i="70"/>
  <c r="AD24" i="70"/>
  <c r="AB24" i="70"/>
  <c r="AA24" i="70"/>
  <c r="Y24" i="70"/>
  <c r="W24" i="70"/>
  <c r="T24" i="70"/>
  <c r="T25" i="70" s="1"/>
  <c r="T26" i="70" s="1"/>
  <c r="T27" i="70" s="1"/>
  <c r="S24" i="70"/>
  <c r="S25" i="70" s="1"/>
  <c r="S26" i="70" s="1"/>
  <c r="S27" i="70" s="1"/>
  <c r="R24" i="70"/>
  <c r="P22" i="70"/>
  <c r="N22" i="70"/>
  <c r="P21" i="70"/>
  <c r="W20" i="70"/>
  <c r="V20" i="70"/>
  <c r="N20" i="70"/>
  <c r="W19" i="70"/>
  <c r="V19" i="70"/>
  <c r="U19" i="70"/>
  <c r="U20" i="70" s="1"/>
  <c r="N19" i="70"/>
  <c r="X18" i="70"/>
  <c r="X19" i="70" s="1"/>
  <c r="X20" i="70" s="1"/>
  <c r="W18" i="70"/>
  <c r="V18" i="70"/>
  <c r="U18" i="70"/>
  <c r="T18" i="70"/>
  <c r="T19" i="70" s="1"/>
  <c r="T20" i="70" s="1"/>
  <c r="T43" i="70" s="1"/>
  <c r="T44" i="70" s="1"/>
  <c r="T45" i="70" s="1"/>
  <c r="T46" i="70" s="1"/>
  <c r="N18" i="70"/>
  <c r="AI17" i="70"/>
  <c r="AE17" i="70"/>
  <c r="AD17" i="70"/>
  <c r="AB17" i="70"/>
  <c r="AA17" i="70"/>
  <c r="Z17" i="70"/>
  <c r="Z24" i="70" s="1"/>
  <c r="Z31" i="70" s="1"/>
  <c r="Z43" i="70" s="1"/>
  <c r="W17" i="70"/>
  <c r="T17" i="70"/>
  <c r="S17" i="70"/>
  <c r="S18" i="70" s="1"/>
  <c r="S19" i="70" s="1"/>
  <c r="S20" i="70" s="1"/>
  <c r="S43" i="70" s="1"/>
  <c r="S44" i="70" s="1"/>
  <c r="S45" i="70" s="1"/>
  <c r="S46" i="70" s="1"/>
  <c r="R17" i="70"/>
  <c r="R18" i="70" s="1"/>
  <c r="R19" i="70" s="1"/>
  <c r="R20" i="70" s="1"/>
  <c r="R43" i="70" s="1"/>
  <c r="R44" i="70" s="1"/>
  <c r="R45" i="70" s="1"/>
  <c r="R46" i="70" s="1"/>
  <c r="AI15" i="70"/>
  <c r="P15" i="70"/>
  <c r="N15" i="70"/>
  <c r="AI14" i="70"/>
  <c r="P14" i="70"/>
  <c r="N14" i="70"/>
  <c r="P13" i="70"/>
  <c r="N13" i="70"/>
  <c r="P12" i="70"/>
  <c r="Y11" i="70"/>
  <c r="W11" i="70"/>
  <c r="N11" i="70"/>
  <c r="Y10" i="70"/>
  <c r="W10" i="70"/>
  <c r="N10" i="70"/>
  <c r="Y9" i="70"/>
  <c r="X9" i="70"/>
  <c r="X10" i="70" s="1"/>
  <c r="X11" i="70" s="1"/>
  <c r="W9" i="70"/>
  <c r="V9" i="70"/>
  <c r="V10" i="70" s="1"/>
  <c r="V11" i="70" s="1"/>
  <c r="U9" i="70"/>
  <c r="U10" i="70" s="1"/>
  <c r="U11" i="70" s="1"/>
  <c r="T9" i="70"/>
  <c r="T10" i="70" s="1"/>
  <c r="T11" i="70" s="1"/>
  <c r="S9" i="70"/>
  <c r="S10" i="70" s="1"/>
  <c r="S11" i="70" s="1"/>
  <c r="R9" i="70"/>
  <c r="R10" i="70" s="1"/>
  <c r="R11" i="70" s="1"/>
  <c r="N9" i="70"/>
  <c r="AI8" i="70"/>
  <c r="AG8" i="70"/>
  <c r="AF8" i="70"/>
  <c r="AE8" i="70"/>
  <c r="AD8" i="70"/>
  <c r="AB8" i="70"/>
  <c r="AB15" i="70" s="1"/>
  <c r="AA8" i="70"/>
  <c r="AA15" i="70" s="1"/>
  <c r="Y8" i="70"/>
  <c r="W8" i="70"/>
  <c r="Y46" i="69"/>
  <c r="N46" i="69"/>
  <c r="H46" i="69"/>
  <c r="Y45" i="69"/>
  <c r="N45" i="69"/>
  <c r="H45" i="69"/>
  <c r="Y44" i="69"/>
  <c r="U44" i="69"/>
  <c r="U45" i="69" s="1"/>
  <c r="U46" i="69" s="1"/>
  <c r="N44" i="69"/>
  <c r="H44" i="69"/>
  <c r="AI43" i="69"/>
  <c r="Y43" i="69"/>
  <c r="H43" i="69"/>
  <c r="AB41" i="69"/>
  <c r="P41" i="69"/>
  <c r="P40" i="69"/>
  <c r="N40" i="69"/>
  <c r="N41" i="69" s="1"/>
  <c r="H40" i="69"/>
  <c r="P39" i="69"/>
  <c r="H39" i="69"/>
  <c r="Y38" i="69"/>
  <c r="H38" i="69"/>
  <c r="Y37" i="69"/>
  <c r="N37" i="69"/>
  <c r="H37" i="69"/>
  <c r="Y36" i="69"/>
  <c r="H36" i="69"/>
  <c r="Y35" i="69"/>
  <c r="H35" i="69"/>
  <c r="Y34" i="69"/>
  <c r="U34" i="69"/>
  <c r="U35" i="69" s="1"/>
  <c r="U36" i="69" s="1"/>
  <c r="U37" i="69" s="1"/>
  <c r="U38" i="69" s="1"/>
  <c r="N34" i="69"/>
  <c r="H34" i="69"/>
  <c r="Y33" i="69"/>
  <c r="U33" i="69"/>
  <c r="T33" i="69"/>
  <c r="T34" i="69" s="1"/>
  <c r="T35" i="69" s="1"/>
  <c r="T36" i="69" s="1"/>
  <c r="T37" i="69" s="1"/>
  <c r="T38" i="69" s="1"/>
  <c r="N33" i="69"/>
  <c r="N36" i="69" s="1"/>
  <c r="H33" i="69"/>
  <c r="Y32" i="69"/>
  <c r="X32" i="69"/>
  <c r="X33" i="69" s="1"/>
  <c r="X34" i="69" s="1"/>
  <c r="U32" i="69"/>
  <c r="T32" i="69"/>
  <c r="S32" i="69"/>
  <c r="S33" i="69" s="1"/>
  <c r="S34" i="69" s="1"/>
  <c r="S35" i="69" s="1"/>
  <c r="S36" i="69" s="1"/>
  <c r="S37" i="69" s="1"/>
  <c r="S38" i="69" s="1"/>
  <c r="N32" i="69"/>
  <c r="N35" i="69" s="1"/>
  <c r="N38" i="69" s="1"/>
  <c r="H32" i="69"/>
  <c r="AI31" i="69"/>
  <c r="AI41" i="69" s="1"/>
  <c r="AG31" i="69"/>
  <c r="AF31" i="69"/>
  <c r="AB31" i="69"/>
  <c r="AA31" i="69"/>
  <c r="AA41" i="69" s="1"/>
  <c r="Y31" i="69"/>
  <c r="T31" i="69"/>
  <c r="S31" i="69"/>
  <c r="R31" i="69"/>
  <c r="R32" i="69" s="1"/>
  <c r="R33" i="69" s="1"/>
  <c r="R34" i="69" s="1"/>
  <c r="R35" i="69" s="1"/>
  <c r="R36" i="69" s="1"/>
  <c r="R37" i="69" s="1"/>
  <c r="R38" i="69" s="1"/>
  <c r="H31" i="69"/>
  <c r="P29" i="69"/>
  <c r="N29" i="69"/>
  <c r="P28" i="69"/>
  <c r="Y27" i="69"/>
  <c r="W27" i="69"/>
  <c r="N27" i="69"/>
  <c r="Y26" i="69"/>
  <c r="W26" i="69"/>
  <c r="S26" i="69"/>
  <c r="S27" i="69" s="1"/>
  <c r="N26" i="69"/>
  <c r="Y25" i="69"/>
  <c r="X25" i="69"/>
  <c r="X26" i="69" s="1"/>
  <c r="X27" i="69" s="1"/>
  <c r="W25" i="69"/>
  <c r="V25" i="69"/>
  <c r="V26" i="69" s="1"/>
  <c r="V27" i="69" s="1"/>
  <c r="U25" i="69"/>
  <c r="U26" i="69" s="1"/>
  <c r="U27" i="69" s="1"/>
  <c r="S25" i="69"/>
  <c r="N25" i="69"/>
  <c r="AI24" i="69"/>
  <c r="AG24" i="69"/>
  <c r="AF24" i="69"/>
  <c r="AE24" i="69"/>
  <c r="AD24" i="69"/>
  <c r="AB24" i="69"/>
  <c r="AA24" i="69"/>
  <c r="Y24" i="69"/>
  <c r="W24" i="69"/>
  <c r="T24" i="69"/>
  <c r="T25" i="69" s="1"/>
  <c r="T26" i="69" s="1"/>
  <c r="T27" i="69" s="1"/>
  <c r="S24" i="69"/>
  <c r="R24" i="69"/>
  <c r="R25" i="69" s="1"/>
  <c r="R26" i="69" s="1"/>
  <c r="R27" i="69" s="1"/>
  <c r="P22" i="69"/>
  <c r="N22" i="69"/>
  <c r="P21" i="69"/>
  <c r="X20" i="69"/>
  <c r="W20" i="69"/>
  <c r="N20" i="69"/>
  <c r="X19" i="69"/>
  <c r="W19" i="69"/>
  <c r="V19" i="69"/>
  <c r="V20" i="69" s="1"/>
  <c r="R19" i="69"/>
  <c r="R20" i="69" s="1"/>
  <c r="R43" i="69" s="1"/>
  <c r="R44" i="69" s="1"/>
  <c r="R45" i="69" s="1"/>
  <c r="R46" i="69" s="1"/>
  <c r="N19" i="69"/>
  <c r="X18" i="69"/>
  <c r="W18" i="69"/>
  <c r="V18" i="69"/>
  <c r="U18" i="69"/>
  <c r="U19" i="69" s="1"/>
  <c r="U20" i="69" s="1"/>
  <c r="R18" i="69"/>
  <c r="N18" i="69"/>
  <c r="AI17" i="69"/>
  <c r="AE17" i="69"/>
  <c r="AD17" i="69"/>
  <c r="AB17" i="69"/>
  <c r="AA17" i="69"/>
  <c r="Z17" i="69"/>
  <c r="Z24" i="69" s="1"/>
  <c r="Z31" i="69" s="1"/>
  <c r="Z43" i="69" s="1"/>
  <c r="W17" i="69"/>
  <c r="T17" i="69"/>
  <c r="T18" i="69" s="1"/>
  <c r="T19" i="69" s="1"/>
  <c r="T20" i="69" s="1"/>
  <c r="T43" i="69" s="1"/>
  <c r="T44" i="69" s="1"/>
  <c r="T45" i="69" s="1"/>
  <c r="T46" i="69" s="1"/>
  <c r="S17" i="69"/>
  <c r="S18" i="69" s="1"/>
  <c r="S19" i="69" s="1"/>
  <c r="S20" i="69" s="1"/>
  <c r="S43" i="69" s="1"/>
  <c r="S44" i="69" s="1"/>
  <c r="S45" i="69" s="1"/>
  <c r="S46" i="69" s="1"/>
  <c r="R17" i="69"/>
  <c r="P15" i="69"/>
  <c r="P14" i="69"/>
  <c r="N14" i="69"/>
  <c r="P13" i="69"/>
  <c r="N13" i="69"/>
  <c r="N15" i="69" s="1"/>
  <c r="P12" i="69"/>
  <c r="Y11" i="69"/>
  <c r="W11" i="69"/>
  <c r="N11" i="69"/>
  <c r="Y10" i="69"/>
  <c r="W10" i="69"/>
  <c r="N10" i="69"/>
  <c r="Y9" i="69"/>
  <c r="X9" i="69"/>
  <c r="X10" i="69" s="1"/>
  <c r="X11" i="69" s="1"/>
  <c r="W9" i="69"/>
  <c r="V9" i="69"/>
  <c r="V10" i="69" s="1"/>
  <c r="V11" i="69" s="1"/>
  <c r="U9" i="69"/>
  <c r="U10" i="69" s="1"/>
  <c r="U11" i="69" s="1"/>
  <c r="T9" i="69"/>
  <c r="T10" i="69" s="1"/>
  <c r="T11" i="69" s="1"/>
  <c r="S9" i="69"/>
  <c r="S10" i="69" s="1"/>
  <c r="S11" i="69" s="1"/>
  <c r="R9" i="69"/>
  <c r="R10" i="69" s="1"/>
  <c r="R11" i="69" s="1"/>
  <c r="N9" i="69"/>
  <c r="AI8" i="69"/>
  <c r="AI15" i="69" s="1"/>
  <c r="AG8" i="69"/>
  <c r="AF8" i="69"/>
  <c r="AE8" i="69"/>
  <c r="AD8" i="69"/>
  <c r="AB8" i="69"/>
  <c r="AB15" i="69" s="1"/>
  <c r="AA8" i="69"/>
  <c r="AA14" i="69" s="1"/>
  <c r="Y8" i="69"/>
  <c r="W8" i="69"/>
  <c r="Y46" i="68"/>
  <c r="N46" i="68"/>
  <c r="H46" i="68"/>
  <c r="Y45" i="68"/>
  <c r="N45" i="68"/>
  <c r="H45" i="68"/>
  <c r="Y44" i="68"/>
  <c r="U44" i="68"/>
  <c r="U45" i="68" s="1"/>
  <c r="U46" i="68" s="1"/>
  <c r="N44" i="68"/>
  <c r="H44" i="68"/>
  <c r="AI43" i="68"/>
  <c r="Y43" i="68"/>
  <c r="H43" i="68"/>
  <c r="P41" i="68"/>
  <c r="P40" i="68"/>
  <c r="N40" i="68"/>
  <c r="N41" i="68" s="1"/>
  <c r="H40" i="68"/>
  <c r="P39" i="68"/>
  <c r="H39" i="68"/>
  <c r="Y38" i="68"/>
  <c r="H38" i="68"/>
  <c r="Y37" i="68"/>
  <c r="N37" i="68"/>
  <c r="H37" i="68"/>
  <c r="Y36" i="68"/>
  <c r="H36" i="68"/>
  <c r="Y35" i="68"/>
  <c r="H35" i="68"/>
  <c r="Y34" i="68"/>
  <c r="X34" i="68"/>
  <c r="U34" i="68"/>
  <c r="U35" i="68" s="1"/>
  <c r="U36" i="68" s="1"/>
  <c r="U37" i="68" s="1"/>
  <c r="U38" i="68" s="1"/>
  <c r="N34" i="68"/>
  <c r="H34" i="68"/>
  <c r="Y33" i="68"/>
  <c r="X33" i="68"/>
  <c r="U33" i="68"/>
  <c r="T33" i="68"/>
  <c r="T34" i="68" s="1"/>
  <c r="T35" i="68" s="1"/>
  <c r="T36" i="68" s="1"/>
  <c r="T37" i="68" s="1"/>
  <c r="T38" i="68" s="1"/>
  <c r="N33" i="68"/>
  <c r="N36" i="68" s="1"/>
  <c r="H33" i="68"/>
  <c r="Y32" i="68"/>
  <c r="X32" i="68"/>
  <c r="U32" i="68"/>
  <c r="T32" i="68"/>
  <c r="S32" i="68"/>
  <c r="S33" i="68" s="1"/>
  <c r="S34" i="68" s="1"/>
  <c r="S35" i="68" s="1"/>
  <c r="S36" i="68" s="1"/>
  <c r="S37" i="68" s="1"/>
  <c r="S38" i="68" s="1"/>
  <c r="N32" i="68"/>
  <c r="N35" i="68" s="1"/>
  <c r="N38" i="68" s="1"/>
  <c r="H32" i="68"/>
  <c r="AI31" i="68"/>
  <c r="AI41" i="68" s="1"/>
  <c r="AG31" i="68"/>
  <c r="AF31" i="68"/>
  <c r="AB31" i="68"/>
  <c r="AB41" i="68" s="1"/>
  <c r="AA31" i="68"/>
  <c r="AA41" i="68" s="1"/>
  <c r="Y31" i="68"/>
  <c r="T31" i="68"/>
  <c r="S31" i="68"/>
  <c r="R31" i="68"/>
  <c r="R32" i="68" s="1"/>
  <c r="R33" i="68" s="1"/>
  <c r="R34" i="68" s="1"/>
  <c r="R35" i="68" s="1"/>
  <c r="R36" i="68" s="1"/>
  <c r="R37" i="68" s="1"/>
  <c r="R38" i="68" s="1"/>
  <c r="H31" i="68"/>
  <c r="P29" i="68"/>
  <c r="N29" i="68"/>
  <c r="P28" i="68"/>
  <c r="Y27" i="68"/>
  <c r="W27" i="68"/>
  <c r="N27" i="68"/>
  <c r="Y26" i="68"/>
  <c r="W26" i="68"/>
  <c r="N26" i="68"/>
  <c r="Y25" i="68"/>
  <c r="X25" i="68"/>
  <c r="X26" i="68" s="1"/>
  <c r="X27" i="68" s="1"/>
  <c r="W25" i="68"/>
  <c r="V25" i="68"/>
  <c r="V26" i="68" s="1"/>
  <c r="V27" i="68" s="1"/>
  <c r="U25" i="68"/>
  <c r="U26" i="68" s="1"/>
  <c r="U27" i="68" s="1"/>
  <c r="S25" i="68"/>
  <c r="S26" i="68" s="1"/>
  <c r="S27" i="68" s="1"/>
  <c r="N25" i="68"/>
  <c r="AI24" i="68"/>
  <c r="AG24" i="68"/>
  <c r="AF24" i="68"/>
  <c r="AE24" i="68"/>
  <c r="AD24" i="68"/>
  <c r="AB24" i="68"/>
  <c r="AA24" i="68"/>
  <c r="Y24" i="68"/>
  <c r="W24" i="68"/>
  <c r="T24" i="68"/>
  <c r="T25" i="68" s="1"/>
  <c r="T26" i="68" s="1"/>
  <c r="T27" i="68" s="1"/>
  <c r="S24" i="68"/>
  <c r="R24" i="68"/>
  <c r="R25" i="68" s="1"/>
  <c r="R26" i="68" s="1"/>
  <c r="R27" i="68" s="1"/>
  <c r="P22" i="68"/>
  <c r="N22" i="68"/>
  <c r="P21" i="68"/>
  <c r="X20" i="68"/>
  <c r="W20" i="68"/>
  <c r="N20" i="68"/>
  <c r="X19" i="68"/>
  <c r="W19" i="68"/>
  <c r="V19" i="68"/>
  <c r="V20" i="68" s="1"/>
  <c r="R19" i="68"/>
  <c r="R20" i="68" s="1"/>
  <c r="R43" i="68" s="1"/>
  <c r="R44" i="68" s="1"/>
  <c r="R45" i="68" s="1"/>
  <c r="R46" i="68" s="1"/>
  <c r="N19" i="68"/>
  <c r="X18" i="68"/>
  <c r="W18" i="68"/>
  <c r="V18" i="68"/>
  <c r="U18" i="68"/>
  <c r="U19" i="68" s="1"/>
  <c r="U20" i="68" s="1"/>
  <c r="R18" i="68"/>
  <c r="N18" i="68"/>
  <c r="AI17" i="68"/>
  <c r="AE17" i="68"/>
  <c r="AD17" i="68"/>
  <c r="AB17" i="68"/>
  <c r="AA17" i="68"/>
  <c r="Z17" i="68"/>
  <c r="Z24" i="68" s="1"/>
  <c r="Z31" i="68" s="1"/>
  <c r="Z43" i="68" s="1"/>
  <c r="W17" i="68"/>
  <c r="T17" i="68"/>
  <c r="T18" i="68" s="1"/>
  <c r="T19" i="68" s="1"/>
  <c r="T20" i="68" s="1"/>
  <c r="T43" i="68" s="1"/>
  <c r="T44" i="68" s="1"/>
  <c r="T45" i="68" s="1"/>
  <c r="T46" i="68" s="1"/>
  <c r="S17" i="68"/>
  <c r="S18" i="68" s="1"/>
  <c r="S19" i="68" s="1"/>
  <c r="S20" i="68" s="1"/>
  <c r="S43" i="68" s="1"/>
  <c r="S44" i="68" s="1"/>
  <c r="S45" i="68" s="1"/>
  <c r="S46" i="68" s="1"/>
  <c r="R17" i="68"/>
  <c r="P15" i="68"/>
  <c r="P14" i="68"/>
  <c r="N14" i="68"/>
  <c r="P13" i="68"/>
  <c r="N13" i="68"/>
  <c r="N15" i="68" s="1"/>
  <c r="P12" i="68"/>
  <c r="Y11" i="68"/>
  <c r="W11" i="68"/>
  <c r="N11" i="68"/>
  <c r="Y10" i="68"/>
  <c r="W10" i="68"/>
  <c r="N10" i="68"/>
  <c r="Y9" i="68"/>
  <c r="X9" i="68"/>
  <c r="X10" i="68" s="1"/>
  <c r="X11" i="68" s="1"/>
  <c r="W9" i="68"/>
  <c r="V9" i="68"/>
  <c r="V10" i="68" s="1"/>
  <c r="V11" i="68" s="1"/>
  <c r="U9" i="68"/>
  <c r="U10" i="68" s="1"/>
  <c r="U11" i="68" s="1"/>
  <c r="T9" i="68"/>
  <c r="T10" i="68" s="1"/>
  <c r="T11" i="68" s="1"/>
  <c r="S9" i="68"/>
  <c r="S10" i="68" s="1"/>
  <c r="S11" i="68" s="1"/>
  <c r="R9" i="68"/>
  <c r="R10" i="68" s="1"/>
  <c r="R11" i="68" s="1"/>
  <c r="N9" i="68"/>
  <c r="AI8" i="68"/>
  <c r="AI15" i="68" s="1"/>
  <c r="AG8" i="68"/>
  <c r="AF8" i="68"/>
  <c r="AE8" i="68"/>
  <c r="AD8" i="68"/>
  <c r="AB8" i="68"/>
  <c r="AB15" i="68" s="1"/>
  <c r="AA8" i="68"/>
  <c r="AA15" i="68" s="1"/>
  <c r="Y8" i="68"/>
  <c r="W8" i="68"/>
  <c r="Y46" i="67"/>
  <c r="N46" i="67"/>
  <c r="H46" i="67"/>
  <c r="Y45" i="67"/>
  <c r="N45" i="67"/>
  <c r="H45" i="67"/>
  <c r="Y44" i="67"/>
  <c r="U44" i="67"/>
  <c r="U45" i="67" s="1"/>
  <c r="U46" i="67" s="1"/>
  <c r="N44" i="67"/>
  <c r="H44" i="67"/>
  <c r="AI43" i="67"/>
  <c r="Y43" i="67"/>
  <c r="H43" i="67"/>
  <c r="AB41" i="67"/>
  <c r="P41" i="67"/>
  <c r="P40" i="67"/>
  <c r="N40" i="67"/>
  <c r="N41" i="67" s="1"/>
  <c r="H40" i="67"/>
  <c r="P39" i="67"/>
  <c r="H39" i="67"/>
  <c r="Y38" i="67"/>
  <c r="H38" i="67"/>
  <c r="Y37" i="67"/>
  <c r="N37" i="67"/>
  <c r="H37" i="67"/>
  <c r="Y36" i="67"/>
  <c r="H36" i="67"/>
  <c r="Y35" i="67"/>
  <c r="H35" i="67"/>
  <c r="Y34" i="67"/>
  <c r="U34" i="67"/>
  <c r="U35" i="67" s="1"/>
  <c r="U36" i="67" s="1"/>
  <c r="U37" i="67" s="1"/>
  <c r="U38" i="67" s="1"/>
  <c r="N34" i="67"/>
  <c r="H34" i="67"/>
  <c r="Y33" i="67"/>
  <c r="U33" i="67"/>
  <c r="N33" i="67"/>
  <c r="N36" i="67" s="1"/>
  <c r="H33" i="67"/>
  <c r="Y32" i="67"/>
  <c r="X32" i="67"/>
  <c r="X33" i="67" s="1"/>
  <c r="X34" i="67" s="1"/>
  <c r="U32" i="67"/>
  <c r="S32" i="67"/>
  <c r="S33" i="67" s="1"/>
  <c r="S34" i="67" s="1"/>
  <c r="S35" i="67" s="1"/>
  <c r="S36" i="67" s="1"/>
  <c r="S37" i="67" s="1"/>
  <c r="S38" i="67" s="1"/>
  <c r="N32" i="67"/>
  <c r="N35" i="67" s="1"/>
  <c r="N38" i="67" s="1"/>
  <c r="H32" i="67"/>
  <c r="AI31" i="67"/>
  <c r="AI41" i="67" s="1"/>
  <c r="AG31" i="67"/>
  <c r="AF31" i="67"/>
  <c r="AB31" i="67"/>
  <c r="AA31" i="67"/>
  <c r="AA41" i="67" s="1"/>
  <c r="Y31" i="67"/>
  <c r="T31" i="67"/>
  <c r="T32" i="67" s="1"/>
  <c r="T33" i="67" s="1"/>
  <c r="T34" i="67" s="1"/>
  <c r="T35" i="67" s="1"/>
  <c r="T36" i="67" s="1"/>
  <c r="T37" i="67" s="1"/>
  <c r="T38" i="67" s="1"/>
  <c r="S31" i="67"/>
  <c r="R31" i="67"/>
  <c r="R32" i="67" s="1"/>
  <c r="R33" i="67" s="1"/>
  <c r="R34" i="67" s="1"/>
  <c r="R35" i="67" s="1"/>
  <c r="R36" i="67" s="1"/>
  <c r="R37" i="67" s="1"/>
  <c r="R38" i="67" s="1"/>
  <c r="H31" i="67"/>
  <c r="P29" i="67"/>
  <c r="N29" i="67"/>
  <c r="P28" i="67"/>
  <c r="Y27" i="67"/>
  <c r="W27" i="67"/>
  <c r="N27" i="67"/>
  <c r="Y26" i="67"/>
  <c r="W26" i="67"/>
  <c r="N26" i="67"/>
  <c r="Y25" i="67"/>
  <c r="X25" i="67"/>
  <c r="X26" i="67" s="1"/>
  <c r="X27" i="67" s="1"/>
  <c r="W25" i="67"/>
  <c r="V25" i="67"/>
  <c r="V26" i="67" s="1"/>
  <c r="V27" i="67" s="1"/>
  <c r="U25" i="67"/>
  <c r="U26" i="67" s="1"/>
  <c r="U27" i="67" s="1"/>
  <c r="S25" i="67"/>
  <c r="S26" i="67" s="1"/>
  <c r="S27" i="67" s="1"/>
  <c r="N25" i="67"/>
  <c r="AI24" i="67"/>
  <c r="AG24" i="67"/>
  <c r="AF24" i="67"/>
  <c r="AE24" i="67"/>
  <c r="AD24" i="67"/>
  <c r="AB24" i="67"/>
  <c r="AA24" i="67"/>
  <c r="Y24" i="67"/>
  <c r="W24" i="67"/>
  <c r="T24" i="67"/>
  <c r="T25" i="67" s="1"/>
  <c r="T26" i="67" s="1"/>
  <c r="T27" i="67" s="1"/>
  <c r="S24" i="67"/>
  <c r="R24" i="67"/>
  <c r="R25" i="67" s="1"/>
  <c r="R26" i="67" s="1"/>
  <c r="R27" i="67" s="1"/>
  <c r="P22" i="67"/>
  <c r="N22" i="67"/>
  <c r="P21" i="67"/>
  <c r="W20" i="67"/>
  <c r="N20" i="67"/>
  <c r="X19" i="67"/>
  <c r="X20" i="67" s="1"/>
  <c r="W19" i="67"/>
  <c r="V19" i="67"/>
  <c r="V20" i="67" s="1"/>
  <c r="R19" i="67"/>
  <c r="R20" i="67" s="1"/>
  <c r="R43" i="67" s="1"/>
  <c r="R44" i="67" s="1"/>
  <c r="R45" i="67" s="1"/>
  <c r="R46" i="67" s="1"/>
  <c r="N19" i="67"/>
  <c r="X18" i="67"/>
  <c r="W18" i="67"/>
  <c r="V18" i="67"/>
  <c r="U18" i="67"/>
  <c r="U19" i="67" s="1"/>
  <c r="U20" i="67" s="1"/>
  <c r="R18" i="67"/>
  <c r="N18" i="67"/>
  <c r="AI17" i="67"/>
  <c r="AE17" i="67"/>
  <c r="AD17" i="67"/>
  <c r="AB17" i="67"/>
  <c r="AA17" i="67"/>
  <c r="Z17" i="67"/>
  <c r="Z24" i="67" s="1"/>
  <c r="Z31" i="67" s="1"/>
  <c r="Z43" i="67" s="1"/>
  <c r="W17" i="67"/>
  <c r="T17" i="67"/>
  <c r="T18" i="67" s="1"/>
  <c r="T19" i="67" s="1"/>
  <c r="T20" i="67" s="1"/>
  <c r="T43" i="67" s="1"/>
  <c r="T44" i="67" s="1"/>
  <c r="T45" i="67" s="1"/>
  <c r="T46" i="67" s="1"/>
  <c r="S17" i="67"/>
  <c r="S18" i="67" s="1"/>
  <c r="S19" i="67" s="1"/>
  <c r="S20" i="67" s="1"/>
  <c r="S43" i="67" s="1"/>
  <c r="S44" i="67" s="1"/>
  <c r="S45" i="67" s="1"/>
  <c r="S46" i="67" s="1"/>
  <c r="R17" i="67"/>
  <c r="P15" i="67"/>
  <c r="P14" i="67"/>
  <c r="N14" i="67"/>
  <c r="P13" i="67"/>
  <c r="N13" i="67"/>
  <c r="N15" i="67" s="1"/>
  <c r="P12" i="67"/>
  <c r="Y11" i="67"/>
  <c r="W11" i="67"/>
  <c r="N11" i="67"/>
  <c r="Y10" i="67"/>
  <c r="W10" i="67"/>
  <c r="N10" i="67"/>
  <c r="Y9" i="67"/>
  <c r="X9" i="67"/>
  <c r="X10" i="67" s="1"/>
  <c r="X11" i="67" s="1"/>
  <c r="W9" i="67"/>
  <c r="V9" i="67"/>
  <c r="V10" i="67" s="1"/>
  <c r="V11" i="67" s="1"/>
  <c r="U9" i="67"/>
  <c r="U10" i="67" s="1"/>
  <c r="U11" i="67" s="1"/>
  <c r="T9" i="67"/>
  <c r="T10" i="67" s="1"/>
  <c r="T11" i="67" s="1"/>
  <c r="S9" i="67"/>
  <c r="S10" i="67" s="1"/>
  <c r="S11" i="67" s="1"/>
  <c r="R9" i="67"/>
  <c r="R10" i="67" s="1"/>
  <c r="R11" i="67" s="1"/>
  <c r="N9" i="67"/>
  <c r="AI8" i="67"/>
  <c r="AI15" i="67" s="1"/>
  <c r="AG8" i="67"/>
  <c r="AF8" i="67"/>
  <c r="AE8" i="67"/>
  <c r="AD8" i="67"/>
  <c r="AB8" i="67"/>
  <c r="AB15" i="67" s="1"/>
  <c r="AA8" i="67"/>
  <c r="AA15" i="67" s="1"/>
  <c r="Y8" i="67"/>
  <c r="W8" i="67"/>
  <c r="Y46" i="66"/>
  <c r="U46" i="66"/>
  <c r="N46" i="66"/>
  <c r="H46" i="66"/>
  <c r="Y45" i="66"/>
  <c r="U45" i="66"/>
  <c r="N45" i="66"/>
  <c r="H45" i="66"/>
  <c r="Y44" i="66"/>
  <c r="U44" i="66"/>
  <c r="N44" i="66"/>
  <c r="H44" i="66"/>
  <c r="AI43" i="66"/>
  <c r="Y43" i="66"/>
  <c r="H43" i="66"/>
  <c r="AB41" i="66"/>
  <c r="P41" i="66"/>
  <c r="P40" i="66"/>
  <c r="N40" i="66"/>
  <c r="N41" i="66" s="1"/>
  <c r="H40" i="66"/>
  <c r="P39" i="66"/>
  <c r="H39" i="66"/>
  <c r="Y38" i="66"/>
  <c r="H38" i="66"/>
  <c r="Y37" i="66"/>
  <c r="N37" i="66"/>
  <c r="H37" i="66"/>
  <c r="Y36" i="66"/>
  <c r="H36" i="66"/>
  <c r="Y35" i="66"/>
  <c r="H35" i="66"/>
  <c r="Y34" i="66"/>
  <c r="X34" i="66"/>
  <c r="U34" i="66"/>
  <c r="U35" i="66" s="1"/>
  <c r="U36" i="66" s="1"/>
  <c r="U37" i="66" s="1"/>
  <c r="U38" i="66" s="1"/>
  <c r="N34" i="66"/>
  <c r="H34" i="66"/>
  <c r="Y33" i="66"/>
  <c r="X33" i="66"/>
  <c r="U33" i="66"/>
  <c r="T33" i="66"/>
  <c r="T34" i="66" s="1"/>
  <c r="T35" i="66" s="1"/>
  <c r="T36" i="66" s="1"/>
  <c r="T37" i="66" s="1"/>
  <c r="T38" i="66" s="1"/>
  <c r="N33" i="66"/>
  <c r="N36" i="66" s="1"/>
  <c r="H33" i="66"/>
  <c r="Y32" i="66"/>
  <c r="X32" i="66"/>
  <c r="U32" i="66"/>
  <c r="T32" i="66"/>
  <c r="S32" i="66"/>
  <c r="S33" i="66" s="1"/>
  <c r="S34" i="66" s="1"/>
  <c r="S35" i="66" s="1"/>
  <c r="S36" i="66" s="1"/>
  <c r="S37" i="66" s="1"/>
  <c r="S38" i="66" s="1"/>
  <c r="N32" i="66"/>
  <c r="N35" i="66" s="1"/>
  <c r="N38" i="66" s="1"/>
  <c r="H32" i="66"/>
  <c r="AI31" i="66"/>
  <c r="AI41" i="66" s="1"/>
  <c r="AG31" i="66"/>
  <c r="AF31" i="66"/>
  <c r="AB31" i="66"/>
  <c r="AA31" i="66"/>
  <c r="AA41" i="66" s="1"/>
  <c r="Y31" i="66"/>
  <c r="T31" i="66"/>
  <c r="S31" i="66"/>
  <c r="R31" i="66"/>
  <c r="R32" i="66" s="1"/>
  <c r="R33" i="66" s="1"/>
  <c r="R34" i="66" s="1"/>
  <c r="R35" i="66" s="1"/>
  <c r="R36" i="66" s="1"/>
  <c r="R37" i="66" s="1"/>
  <c r="R38" i="66" s="1"/>
  <c r="H31" i="66"/>
  <c r="P29" i="66"/>
  <c r="N29" i="66"/>
  <c r="P28" i="66"/>
  <c r="Y27" i="66"/>
  <c r="W27" i="66"/>
  <c r="N27" i="66"/>
  <c r="Y26" i="66"/>
  <c r="W26" i="66"/>
  <c r="N26" i="66"/>
  <c r="Y25" i="66"/>
  <c r="X25" i="66"/>
  <c r="X26" i="66" s="1"/>
  <c r="X27" i="66" s="1"/>
  <c r="W25" i="66"/>
  <c r="V25" i="66"/>
  <c r="V26" i="66" s="1"/>
  <c r="V27" i="66" s="1"/>
  <c r="U25" i="66"/>
  <c r="U26" i="66" s="1"/>
  <c r="U27" i="66" s="1"/>
  <c r="S25" i="66"/>
  <c r="S26" i="66" s="1"/>
  <c r="S27" i="66" s="1"/>
  <c r="N25" i="66"/>
  <c r="AI24" i="66"/>
  <c r="AG24" i="66"/>
  <c r="AF24" i="66"/>
  <c r="AE24" i="66"/>
  <c r="AD24" i="66"/>
  <c r="AB24" i="66"/>
  <c r="AA24" i="66"/>
  <c r="Y24" i="66"/>
  <c r="W24" i="66"/>
  <c r="T24" i="66"/>
  <c r="T25" i="66" s="1"/>
  <c r="T26" i="66" s="1"/>
  <c r="T27" i="66" s="1"/>
  <c r="S24" i="66"/>
  <c r="R24" i="66"/>
  <c r="R25" i="66" s="1"/>
  <c r="R26" i="66" s="1"/>
  <c r="R27" i="66" s="1"/>
  <c r="P22" i="66"/>
  <c r="N22" i="66"/>
  <c r="P21" i="66"/>
  <c r="X20" i="66"/>
  <c r="W20" i="66"/>
  <c r="N20" i="66"/>
  <c r="X19" i="66"/>
  <c r="W19" i="66"/>
  <c r="V19" i="66"/>
  <c r="V20" i="66" s="1"/>
  <c r="R19" i="66"/>
  <c r="R20" i="66" s="1"/>
  <c r="R43" i="66" s="1"/>
  <c r="R44" i="66" s="1"/>
  <c r="R45" i="66" s="1"/>
  <c r="R46" i="66" s="1"/>
  <c r="N19" i="66"/>
  <c r="X18" i="66"/>
  <c r="W18" i="66"/>
  <c r="V18" i="66"/>
  <c r="U18" i="66"/>
  <c r="U19" i="66" s="1"/>
  <c r="U20" i="66" s="1"/>
  <c r="R18" i="66"/>
  <c r="N18" i="66"/>
  <c r="AI17" i="66"/>
  <c r="AE17" i="66"/>
  <c r="AD17" i="66"/>
  <c r="AB17" i="66"/>
  <c r="AA17" i="66"/>
  <c r="Z17" i="66"/>
  <c r="Z24" i="66" s="1"/>
  <c r="Z31" i="66" s="1"/>
  <c r="Z43" i="66" s="1"/>
  <c r="W17" i="66"/>
  <c r="T17" i="66"/>
  <c r="T18" i="66" s="1"/>
  <c r="T19" i="66" s="1"/>
  <c r="T20" i="66" s="1"/>
  <c r="T43" i="66" s="1"/>
  <c r="T44" i="66" s="1"/>
  <c r="T45" i="66" s="1"/>
  <c r="T46" i="66" s="1"/>
  <c r="S17" i="66"/>
  <c r="S18" i="66" s="1"/>
  <c r="S19" i="66" s="1"/>
  <c r="S20" i="66" s="1"/>
  <c r="S43" i="66" s="1"/>
  <c r="S44" i="66" s="1"/>
  <c r="S45" i="66" s="1"/>
  <c r="S46" i="66" s="1"/>
  <c r="R17" i="66"/>
  <c r="P15" i="66"/>
  <c r="P14" i="66"/>
  <c r="N14" i="66"/>
  <c r="P13" i="66"/>
  <c r="N13" i="66"/>
  <c r="N15" i="66" s="1"/>
  <c r="P12" i="66"/>
  <c r="Y11" i="66"/>
  <c r="W11" i="66"/>
  <c r="N11" i="66"/>
  <c r="Y10" i="66"/>
  <c r="W10" i="66"/>
  <c r="N10" i="66"/>
  <c r="Y9" i="66"/>
  <c r="X9" i="66"/>
  <c r="X10" i="66" s="1"/>
  <c r="X11" i="66" s="1"/>
  <c r="W9" i="66"/>
  <c r="V9" i="66"/>
  <c r="V10" i="66" s="1"/>
  <c r="V11" i="66" s="1"/>
  <c r="U9" i="66"/>
  <c r="U10" i="66" s="1"/>
  <c r="U11" i="66" s="1"/>
  <c r="T9" i="66"/>
  <c r="T10" i="66" s="1"/>
  <c r="T11" i="66" s="1"/>
  <c r="S9" i="66"/>
  <c r="S10" i="66" s="1"/>
  <c r="S11" i="66" s="1"/>
  <c r="R9" i="66"/>
  <c r="R10" i="66" s="1"/>
  <c r="R11" i="66" s="1"/>
  <c r="N9" i="66"/>
  <c r="AI8" i="66"/>
  <c r="AI15" i="66" s="1"/>
  <c r="AG8" i="66"/>
  <c r="AF8" i="66"/>
  <c r="AE8" i="66"/>
  <c r="AD8" i="66"/>
  <c r="AB8" i="66"/>
  <c r="AB15" i="66" s="1"/>
  <c r="AA8" i="66"/>
  <c r="AA15" i="66" s="1"/>
  <c r="Y8" i="66"/>
  <c r="W8" i="66"/>
  <c r="Y46" i="65"/>
  <c r="N46" i="65"/>
  <c r="H46" i="65"/>
  <c r="Y45" i="65"/>
  <c r="N45" i="65"/>
  <c r="H45" i="65"/>
  <c r="Y44" i="65"/>
  <c r="U44" i="65"/>
  <c r="U45" i="65" s="1"/>
  <c r="U46" i="65" s="1"/>
  <c r="N44" i="65"/>
  <c r="H44" i="65"/>
  <c r="AI43" i="65"/>
  <c r="Y43" i="65"/>
  <c r="H43" i="65"/>
  <c r="AB41" i="65"/>
  <c r="P41" i="65"/>
  <c r="P40" i="65"/>
  <c r="N40" i="65"/>
  <c r="N41" i="65" s="1"/>
  <c r="H40" i="65"/>
  <c r="P39" i="65"/>
  <c r="H39" i="65"/>
  <c r="Y38" i="65"/>
  <c r="H38" i="65"/>
  <c r="Y37" i="65"/>
  <c r="N37" i="65"/>
  <c r="H37" i="65"/>
  <c r="Y36" i="65"/>
  <c r="H36" i="65"/>
  <c r="Y35" i="65"/>
  <c r="N35" i="65"/>
  <c r="N38" i="65" s="1"/>
  <c r="H35" i="65"/>
  <c r="Y34" i="65"/>
  <c r="N34" i="65"/>
  <c r="H34" i="65"/>
  <c r="Y33" i="65"/>
  <c r="X33" i="65"/>
  <c r="X34" i="65" s="1"/>
  <c r="N33" i="65"/>
  <c r="N36" i="65" s="1"/>
  <c r="H33" i="65"/>
  <c r="Y32" i="65"/>
  <c r="X32" i="65"/>
  <c r="U32" i="65"/>
  <c r="U33" i="65" s="1"/>
  <c r="U34" i="65" s="1"/>
  <c r="U35" i="65" s="1"/>
  <c r="U36" i="65" s="1"/>
  <c r="U37" i="65" s="1"/>
  <c r="U38" i="65" s="1"/>
  <c r="S32" i="65"/>
  <c r="S33" i="65" s="1"/>
  <c r="S34" i="65" s="1"/>
  <c r="S35" i="65" s="1"/>
  <c r="S36" i="65" s="1"/>
  <c r="S37" i="65" s="1"/>
  <c r="S38" i="65" s="1"/>
  <c r="N32" i="65"/>
  <c r="H32" i="65"/>
  <c r="AI31" i="65"/>
  <c r="AI41" i="65" s="1"/>
  <c r="AG31" i="65"/>
  <c r="AF31" i="65"/>
  <c r="AB31" i="65"/>
  <c r="AA31" i="65"/>
  <c r="AA41" i="65" s="1"/>
  <c r="Y31" i="65"/>
  <c r="T31" i="65"/>
  <c r="T32" i="65" s="1"/>
  <c r="T33" i="65" s="1"/>
  <c r="T34" i="65" s="1"/>
  <c r="T35" i="65" s="1"/>
  <c r="T36" i="65" s="1"/>
  <c r="T37" i="65" s="1"/>
  <c r="T38" i="65" s="1"/>
  <c r="S31" i="65"/>
  <c r="R31" i="65"/>
  <c r="R32" i="65" s="1"/>
  <c r="R33" i="65" s="1"/>
  <c r="R34" i="65" s="1"/>
  <c r="R35" i="65" s="1"/>
  <c r="R36" i="65" s="1"/>
  <c r="R37" i="65" s="1"/>
  <c r="R38" i="65" s="1"/>
  <c r="H31" i="65"/>
  <c r="P29" i="65"/>
  <c r="N29" i="65"/>
  <c r="P28" i="65"/>
  <c r="Y27" i="65"/>
  <c r="W27" i="65"/>
  <c r="N27" i="65"/>
  <c r="Y26" i="65"/>
  <c r="W26" i="65"/>
  <c r="N26" i="65"/>
  <c r="Y25" i="65"/>
  <c r="X25" i="65"/>
  <c r="X26" i="65" s="1"/>
  <c r="X27" i="65" s="1"/>
  <c r="W25" i="65"/>
  <c r="V25" i="65"/>
  <c r="V26" i="65" s="1"/>
  <c r="V27" i="65" s="1"/>
  <c r="U25" i="65"/>
  <c r="U26" i="65" s="1"/>
  <c r="U27" i="65" s="1"/>
  <c r="S25" i="65"/>
  <c r="S26" i="65" s="1"/>
  <c r="S27" i="65" s="1"/>
  <c r="N25" i="65"/>
  <c r="AI24" i="65"/>
  <c r="AG24" i="65"/>
  <c r="AF24" i="65"/>
  <c r="AE24" i="65"/>
  <c r="AD24" i="65"/>
  <c r="AB24" i="65"/>
  <c r="AA24" i="65"/>
  <c r="Y24" i="65"/>
  <c r="W24" i="65"/>
  <c r="T24" i="65"/>
  <c r="T25" i="65" s="1"/>
  <c r="T26" i="65" s="1"/>
  <c r="T27" i="65" s="1"/>
  <c r="S24" i="65"/>
  <c r="R24" i="65"/>
  <c r="R25" i="65" s="1"/>
  <c r="R26" i="65" s="1"/>
  <c r="R27" i="65" s="1"/>
  <c r="P22" i="65"/>
  <c r="N22" i="65"/>
  <c r="P21" i="65"/>
  <c r="W20" i="65"/>
  <c r="N20" i="65"/>
  <c r="X19" i="65"/>
  <c r="X20" i="65" s="1"/>
  <c r="W19" i="65"/>
  <c r="V19" i="65"/>
  <c r="V20" i="65" s="1"/>
  <c r="N19" i="65"/>
  <c r="X18" i="65"/>
  <c r="W18" i="65"/>
  <c r="V18" i="65"/>
  <c r="U18" i="65"/>
  <c r="U19" i="65" s="1"/>
  <c r="U20" i="65" s="1"/>
  <c r="N18" i="65"/>
  <c r="AI17" i="65"/>
  <c r="AE17" i="65"/>
  <c r="AD17" i="65"/>
  <c r="AB17" i="65"/>
  <c r="AA17" i="65"/>
  <c r="Z17" i="65"/>
  <c r="Z24" i="65" s="1"/>
  <c r="Z31" i="65" s="1"/>
  <c r="Z43" i="65" s="1"/>
  <c r="W17" i="65"/>
  <c r="T17" i="65"/>
  <c r="T18" i="65" s="1"/>
  <c r="T19" i="65" s="1"/>
  <c r="T20" i="65" s="1"/>
  <c r="T43" i="65" s="1"/>
  <c r="T44" i="65" s="1"/>
  <c r="T45" i="65" s="1"/>
  <c r="T46" i="65" s="1"/>
  <c r="S17" i="65"/>
  <c r="S18" i="65" s="1"/>
  <c r="S19" i="65" s="1"/>
  <c r="S20" i="65" s="1"/>
  <c r="S43" i="65" s="1"/>
  <c r="S44" i="65" s="1"/>
  <c r="S45" i="65" s="1"/>
  <c r="S46" i="65" s="1"/>
  <c r="R17" i="65"/>
  <c r="R18" i="65" s="1"/>
  <c r="R19" i="65" s="1"/>
  <c r="R20" i="65" s="1"/>
  <c r="R43" i="65" s="1"/>
  <c r="R44" i="65" s="1"/>
  <c r="R45" i="65" s="1"/>
  <c r="R46" i="65" s="1"/>
  <c r="AB15" i="65"/>
  <c r="P15" i="65"/>
  <c r="AB14" i="65"/>
  <c r="P14" i="65"/>
  <c r="N14" i="65"/>
  <c r="P13" i="65"/>
  <c r="N13" i="65"/>
  <c r="N15" i="65" s="1"/>
  <c r="P12" i="65"/>
  <c r="Y11" i="65"/>
  <c r="W11" i="65"/>
  <c r="N11" i="65"/>
  <c r="Y10" i="65"/>
  <c r="W10" i="65"/>
  <c r="N10" i="65"/>
  <c r="Y9" i="65"/>
  <c r="X9" i="65"/>
  <c r="X10" i="65" s="1"/>
  <c r="X11" i="65" s="1"/>
  <c r="W9" i="65"/>
  <c r="V9" i="65"/>
  <c r="V10" i="65" s="1"/>
  <c r="V11" i="65" s="1"/>
  <c r="U9" i="65"/>
  <c r="U10" i="65" s="1"/>
  <c r="U11" i="65" s="1"/>
  <c r="T9" i="65"/>
  <c r="T10" i="65" s="1"/>
  <c r="T11" i="65" s="1"/>
  <c r="S9" i="65"/>
  <c r="S10" i="65" s="1"/>
  <c r="S11" i="65" s="1"/>
  <c r="R9" i="65"/>
  <c r="R10" i="65" s="1"/>
  <c r="R11" i="65" s="1"/>
  <c r="N9" i="65"/>
  <c r="AI8" i="65"/>
  <c r="AI15" i="65" s="1"/>
  <c r="AG8" i="65"/>
  <c r="AF8" i="65"/>
  <c r="AE8" i="65"/>
  <c r="AD8" i="65"/>
  <c r="AB8" i="65"/>
  <c r="AA8" i="65"/>
  <c r="AA15" i="65" s="1"/>
  <c r="Y8" i="65"/>
  <c r="W8" i="65"/>
  <c r="AA14" i="72" l="1"/>
  <c r="AB14" i="72"/>
  <c r="AA14" i="71"/>
  <c r="AB14" i="71"/>
  <c r="AI14" i="71"/>
  <c r="AA14" i="70"/>
  <c r="AB14" i="70"/>
  <c r="AA15" i="69"/>
  <c r="AB14" i="69"/>
  <c r="AI14" i="69"/>
  <c r="AB14" i="68"/>
  <c r="AA14" i="68"/>
  <c r="AI14" i="68"/>
  <c r="AA14" i="67"/>
  <c r="AB14" i="67"/>
  <c r="AI14" i="67"/>
  <c r="AA14" i="66"/>
  <c r="AB14" i="66"/>
  <c r="AI14" i="66"/>
  <c r="AA14" i="65"/>
  <c r="AI14" i="65"/>
  <c r="B8" i="65" l="1"/>
  <c r="E43" i="71" l="1"/>
  <c r="E43" i="67"/>
  <c r="E43" i="66"/>
  <c r="E43" i="65"/>
  <c r="E43" i="70"/>
  <c r="E43" i="68"/>
  <c r="E43" i="69"/>
  <c r="E43" i="72"/>
  <c r="E8" i="70"/>
  <c r="E8" i="66"/>
  <c r="E8" i="67"/>
  <c r="E8" i="72"/>
  <c r="E8" i="68"/>
  <c r="E8" i="71"/>
  <c r="E8" i="69"/>
  <c r="E8" i="65"/>
  <c r="E20" i="68"/>
  <c r="E20" i="65"/>
  <c r="E20" i="72"/>
  <c r="E20" i="70"/>
  <c r="E20" i="69"/>
  <c r="E20" i="71"/>
  <c r="E20" i="67"/>
  <c r="E20" i="66"/>
  <c r="E25" i="65"/>
  <c r="E25" i="69"/>
  <c r="E25" i="71"/>
  <c r="E25" i="67"/>
  <c r="E25" i="66"/>
  <c r="E25" i="70"/>
  <c r="E25" i="72"/>
  <c r="E25" i="68"/>
  <c r="E36" i="72"/>
  <c r="E36" i="70"/>
  <c r="E36" i="68"/>
  <c r="E36" i="69"/>
  <c r="E36" i="65"/>
  <c r="E36" i="67"/>
  <c r="E36" i="66"/>
  <c r="E36" i="71"/>
  <c r="E44" i="69"/>
  <c r="E44" i="65"/>
  <c r="E44" i="72"/>
  <c r="E44" i="71"/>
  <c r="E44" i="67"/>
  <c r="E44" i="66"/>
  <c r="E44" i="70"/>
  <c r="E44" i="68"/>
  <c r="X35" i="67"/>
  <c r="X35" i="66"/>
  <c r="X35" i="69"/>
  <c r="X35" i="65"/>
  <c r="X35" i="71"/>
  <c r="X35" i="68"/>
  <c r="X35" i="72"/>
  <c r="X35" i="70"/>
  <c r="E9" i="67"/>
  <c r="E9" i="70"/>
  <c r="E9" i="66"/>
  <c r="E9" i="65"/>
  <c r="E9" i="72"/>
  <c r="E9" i="68"/>
  <c r="E9" i="71"/>
  <c r="E9" i="69"/>
  <c r="E17" i="72"/>
  <c r="E17" i="69"/>
  <c r="E17" i="67"/>
  <c r="E17" i="66"/>
  <c r="E17" i="65"/>
  <c r="E17" i="71"/>
  <c r="E17" i="70"/>
  <c r="E17" i="68"/>
  <c r="E26" i="72"/>
  <c r="E26" i="67"/>
  <c r="E26" i="66"/>
  <c r="E26" i="71"/>
  <c r="E26" i="65"/>
  <c r="E26" i="68"/>
  <c r="E26" i="70"/>
  <c r="E26" i="69"/>
  <c r="E37" i="72"/>
  <c r="E37" i="71"/>
  <c r="E37" i="69"/>
  <c r="E37" i="65"/>
  <c r="E37" i="67"/>
  <c r="E37" i="66"/>
  <c r="E37" i="70"/>
  <c r="E37" i="68"/>
  <c r="E45" i="70"/>
  <c r="E45" i="68"/>
  <c r="E45" i="67"/>
  <c r="E45" i="66"/>
  <c r="E45" i="72"/>
  <c r="E45" i="69"/>
  <c r="E45" i="65"/>
  <c r="E45" i="71"/>
  <c r="E11" i="67"/>
  <c r="E11" i="70"/>
  <c r="E11" i="66"/>
  <c r="E11" i="69"/>
  <c r="E11" i="72"/>
  <c r="E11" i="68"/>
  <c r="E11" i="71"/>
  <c r="E11" i="65"/>
  <c r="E19" i="72"/>
  <c r="E19" i="69"/>
  <c r="E19" i="70"/>
  <c r="E19" i="67"/>
  <c r="E19" i="65"/>
  <c r="E19" i="66"/>
  <c r="E19" i="71"/>
  <c r="E19" i="68"/>
  <c r="E24" i="72"/>
  <c r="E24" i="68"/>
  <c r="E24" i="67"/>
  <c r="E24" i="66"/>
  <c r="E24" i="70"/>
  <c r="E24" i="69"/>
  <c r="E24" i="71"/>
  <c r="E24" i="65"/>
  <c r="E35" i="71"/>
  <c r="E35" i="68"/>
  <c r="E35" i="67"/>
  <c r="E35" i="65"/>
  <c r="E35" i="72"/>
  <c r="E35" i="70"/>
  <c r="E35" i="69"/>
  <c r="E35" i="66"/>
  <c r="E10" i="71"/>
  <c r="E10" i="69"/>
  <c r="E10" i="65"/>
  <c r="E10" i="72"/>
  <c r="E10" i="68"/>
  <c r="E10" i="67"/>
  <c r="E10" i="70"/>
  <c r="E10" i="66"/>
  <c r="E18" i="72"/>
  <c r="E18" i="69"/>
  <c r="E18" i="71"/>
  <c r="E18" i="67"/>
  <c r="E18" i="68"/>
  <c r="E18" i="66"/>
  <c r="E18" i="65"/>
  <c r="E18" i="70"/>
  <c r="E27" i="69"/>
  <c r="E27" i="68"/>
  <c r="E27" i="72"/>
  <c r="E27" i="67"/>
  <c r="E27" i="66"/>
  <c r="E27" i="70"/>
  <c r="E27" i="71"/>
  <c r="E27" i="65"/>
  <c r="E38" i="69"/>
  <c r="E38" i="65"/>
  <c r="E38" i="70"/>
  <c r="E38" i="67"/>
  <c r="E38" i="66"/>
  <c r="E38" i="71"/>
  <c r="E38" i="68"/>
  <c r="E38" i="72"/>
  <c r="E46" i="72"/>
  <c r="E46" i="69"/>
  <c r="E46" i="66"/>
  <c r="E46" i="65"/>
  <c r="E46" i="68"/>
  <c r="E46" i="71"/>
  <c r="E46" i="67"/>
  <c r="E46" i="70"/>
  <c r="B24" i="65"/>
  <c r="B25" i="65" s="1"/>
  <c r="B26" i="65" s="1"/>
  <c r="B27" i="65" s="1"/>
  <c r="B28" i="65" s="1"/>
  <c r="B29" i="65" s="1"/>
  <c r="B31" i="65"/>
  <c r="B32" i="65" s="1"/>
  <c r="B33" i="65" s="1"/>
  <c r="B34" i="65" s="1"/>
  <c r="B17" i="65"/>
  <c r="B18" i="65" s="1"/>
  <c r="B19" i="65" s="1"/>
  <c r="B20" i="65" s="1"/>
  <c r="B9" i="65"/>
  <c r="B10" i="65" s="1"/>
  <c r="B11" i="65" s="1"/>
  <c r="B12" i="65" s="1"/>
  <c r="B13" i="65" s="1"/>
  <c r="X36" i="70" l="1"/>
  <c r="X37" i="70" s="1"/>
  <c r="X38" i="70" s="1"/>
  <c r="X36" i="72"/>
  <c r="X37" i="72" s="1"/>
  <c r="X38" i="72" s="1"/>
  <c r="X36" i="69"/>
  <c r="X37" i="69" s="1"/>
  <c r="X38" i="69" s="1"/>
  <c r="X36" i="68"/>
  <c r="X37" i="68" s="1"/>
  <c r="X38" i="68" s="1"/>
  <c r="X36" i="66"/>
  <c r="X37" i="66" s="1"/>
  <c r="X38" i="66" s="1"/>
  <c r="X36" i="65"/>
  <c r="X37" i="65" s="1"/>
  <c r="X38" i="65" s="1"/>
  <c r="X44" i="65"/>
  <c r="X45" i="65" s="1"/>
  <c r="X46" i="65" s="1"/>
  <c r="X36" i="71"/>
  <c r="X37" i="71" s="1"/>
  <c r="X38" i="71" s="1"/>
  <c r="X36" i="67"/>
  <c r="X37" i="67" s="1"/>
  <c r="X38" i="67" s="1"/>
  <c r="B15" i="65"/>
  <c r="B14" i="65"/>
  <c r="B43" i="65"/>
  <c r="B44" i="65" s="1"/>
  <c r="B45" i="65" s="1"/>
  <c r="B46" i="65" s="1"/>
  <c r="B21" i="65"/>
  <c r="B22" i="65" s="1"/>
  <c r="B39" i="65"/>
  <c r="B40" i="65" s="1"/>
  <c r="B41" i="65" s="1"/>
  <c r="B35" i="65"/>
  <c r="B36" i="65" s="1"/>
  <c r="B37" i="65" s="1"/>
  <c r="B38" i="65" s="1"/>
  <c r="T46" i="4" l="1"/>
  <c r="P41" i="5" l="1"/>
  <c r="P40" i="5"/>
  <c r="P39" i="5"/>
  <c r="P29" i="5"/>
  <c r="P28" i="5"/>
  <c r="P22" i="5"/>
  <c r="P21" i="5"/>
  <c r="P15" i="5"/>
  <c r="P14" i="5"/>
  <c r="P13" i="5"/>
  <c r="P12" i="5"/>
  <c r="B8" i="53" l="1"/>
  <c r="B9" i="26"/>
  <c r="B8" i="49"/>
  <c r="B9" i="49"/>
  <c r="B14" i="44"/>
  <c r="B8" i="52"/>
  <c r="B8" i="24"/>
  <c r="B12" i="53" l="1"/>
  <c r="B8" i="26"/>
  <c r="X35" i="5"/>
  <c r="B28" i="24"/>
  <c r="B8" i="34" l="1"/>
  <c r="Z66" i="4"/>
  <c r="AA66" i="4"/>
  <c r="Z67" i="4"/>
  <c r="AA67" i="4"/>
  <c r="Z68" i="4"/>
  <c r="AA68" i="4"/>
  <c r="Z69" i="4"/>
  <c r="AA69" i="4"/>
  <c r="AA63" i="4"/>
  <c r="Z63" i="4"/>
  <c r="Y63" i="4"/>
  <c r="X63" i="4"/>
  <c r="AA62" i="4"/>
  <c r="Z62" i="4"/>
  <c r="Y62" i="4"/>
  <c r="X62" i="4"/>
  <c r="AA61" i="4"/>
  <c r="Z61" i="4"/>
  <c r="Y61" i="4"/>
  <c r="X61" i="4"/>
  <c r="AA60" i="4"/>
  <c r="Z60" i="4"/>
  <c r="Y60" i="4"/>
  <c r="X60" i="4"/>
  <c r="X54" i="4"/>
  <c r="Y54" i="4"/>
  <c r="AA54" i="4"/>
  <c r="X55" i="4"/>
  <c r="Y55" i="4"/>
  <c r="AA55" i="4"/>
  <c r="X56" i="4"/>
  <c r="Y56" i="4"/>
  <c r="AA56" i="4"/>
  <c r="X57" i="4"/>
  <c r="Y57" i="4"/>
  <c r="AA57" i="4"/>
  <c r="T69" i="4"/>
  <c r="T68" i="4"/>
  <c r="T67" i="4"/>
  <c r="T66" i="4"/>
  <c r="T63" i="4"/>
  <c r="S63" i="4"/>
  <c r="T62" i="4"/>
  <c r="S62" i="4"/>
  <c r="T61" i="4"/>
  <c r="S61" i="4"/>
  <c r="T60" i="4"/>
  <c r="S60" i="4"/>
  <c r="S57" i="4"/>
  <c r="S56" i="4"/>
  <c r="S55" i="4"/>
  <c r="S54" i="4"/>
  <c r="T47" i="4"/>
  <c r="S47" i="4"/>
  <c r="S46" i="4"/>
  <c r="T45" i="4"/>
  <c r="S45" i="4"/>
  <c r="T44" i="4"/>
  <c r="S44" i="4"/>
  <c r="S29" i="4"/>
  <c r="T29" i="4"/>
  <c r="S30" i="4"/>
  <c r="T30" i="4"/>
  <c r="S31" i="4"/>
  <c r="T31" i="4"/>
  <c r="S32" i="4"/>
  <c r="T32" i="4"/>
  <c r="T41" i="4"/>
  <c r="T40" i="4"/>
  <c r="T39" i="4"/>
  <c r="T38" i="4"/>
  <c r="T26" i="4"/>
  <c r="T25" i="4"/>
  <c r="T24" i="4"/>
  <c r="T23" i="4"/>
  <c r="T18" i="4"/>
  <c r="T17" i="4"/>
  <c r="T16" i="4"/>
  <c r="T15" i="4"/>
  <c r="T9" i="4"/>
  <c r="T10" i="4"/>
  <c r="T11" i="4"/>
  <c r="T8" i="4"/>
  <c r="E8" i="50"/>
  <c r="E9" i="50" s="1"/>
  <c r="E11" i="50" s="1"/>
  <c r="AA41" i="4"/>
  <c r="Z41" i="4"/>
  <c r="AA40" i="4"/>
  <c r="Z40" i="4"/>
  <c r="AA39" i="4"/>
  <c r="Z39" i="4"/>
  <c r="AA38" i="4"/>
  <c r="Z38" i="4"/>
  <c r="AA32" i="4"/>
  <c r="Z32" i="4"/>
  <c r="AA31" i="4"/>
  <c r="Z31" i="4"/>
  <c r="AA30" i="4"/>
  <c r="Z30" i="4"/>
  <c r="AA29" i="4"/>
  <c r="Z29" i="4"/>
  <c r="E26" i="50"/>
  <c r="AA26" i="4"/>
  <c r="Z26" i="4"/>
  <c r="AA25" i="4"/>
  <c r="Z25" i="4"/>
  <c r="AA24" i="4"/>
  <c r="Z24" i="4"/>
  <c r="AA23" i="4"/>
  <c r="Z23" i="4"/>
  <c r="AA18" i="4"/>
  <c r="Z18" i="4"/>
  <c r="AA17" i="4"/>
  <c r="Z17" i="4"/>
  <c r="AA16" i="4"/>
  <c r="Z16" i="4"/>
  <c r="AA15" i="4"/>
  <c r="Z15" i="4"/>
  <c r="AA11" i="4"/>
  <c r="Z11" i="4"/>
  <c r="AA10" i="4"/>
  <c r="Z10" i="4"/>
  <c r="AA9" i="4"/>
  <c r="Z9" i="4"/>
  <c r="AA8" i="4"/>
  <c r="Z8" i="4"/>
  <c r="Q14" i="3"/>
  <c r="E34" i="5" l="1"/>
  <c r="E33" i="5"/>
  <c r="E32" i="5"/>
  <c r="E31" i="5"/>
  <c r="S41" i="4"/>
  <c r="S40" i="4"/>
  <c r="S39" i="4"/>
  <c r="S38" i="4"/>
  <c r="S14" i="55"/>
  <c r="R14" i="55"/>
  <c r="Q14" i="55"/>
  <c r="Z17" i="5"/>
  <c r="Z24" i="5"/>
  <c r="Z31" i="5"/>
  <c r="Z43" i="5"/>
  <c r="AI43" i="5"/>
  <c r="Y46" i="5"/>
  <c r="X44" i="5"/>
  <c r="X45" i="5" s="1"/>
  <c r="X46" i="5" s="1"/>
  <c r="Y45" i="5"/>
  <c r="Y44" i="5"/>
  <c r="Y43" i="5"/>
  <c r="U44" i="5"/>
  <c r="U45" i="5"/>
  <c r="U46" i="5"/>
  <c r="T17" i="5"/>
  <c r="T18" i="5"/>
  <c r="T19" i="5"/>
  <c r="T20" i="5"/>
  <c r="T43" i="5"/>
  <c r="T44" i="5"/>
  <c r="T45" i="5"/>
  <c r="T46" i="5"/>
  <c r="S17" i="5"/>
  <c r="S18" i="5"/>
  <c r="S19" i="5"/>
  <c r="S20" i="5"/>
  <c r="S43" i="5"/>
  <c r="S44" i="5"/>
  <c r="S45" i="5"/>
  <c r="S46" i="5"/>
  <c r="R17" i="5"/>
  <c r="R18" i="5"/>
  <c r="R19" i="5"/>
  <c r="R20" i="5"/>
  <c r="R43" i="5"/>
  <c r="R44" i="5"/>
  <c r="R45" i="5"/>
  <c r="R46" i="5"/>
  <c r="X36" i="5"/>
  <c r="X37" i="5" s="1"/>
  <c r="X38" i="5" s="1"/>
  <c r="X32" i="5"/>
  <c r="X33" i="5"/>
  <c r="X34" i="5"/>
  <c r="X25" i="5"/>
  <c r="X26" i="5"/>
  <c r="X27" i="5"/>
  <c r="W27" i="5"/>
  <c r="V25" i="5"/>
  <c r="V26" i="5"/>
  <c r="V27" i="5"/>
  <c r="W26" i="5"/>
  <c r="W25" i="5"/>
  <c r="W24" i="5"/>
  <c r="X18" i="5"/>
  <c r="X19" i="5"/>
  <c r="X20" i="5"/>
  <c r="W20" i="5"/>
  <c r="V18" i="5"/>
  <c r="V19" i="5"/>
  <c r="V20" i="5"/>
  <c r="W19" i="5"/>
  <c r="W18" i="5"/>
  <c r="W17" i="5"/>
  <c r="X9" i="5"/>
  <c r="X10" i="5"/>
  <c r="X11" i="5"/>
  <c r="V9" i="5"/>
  <c r="V10" i="5"/>
  <c r="V11" i="5"/>
  <c r="N46" i="5"/>
  <c r="N45" i="5"/>
  <c r="N44" i="5"/>
  <c r="H46" i="5"/>
  <c r="H45" i="5"/>
  <c r="H44" i="5"/>
  <c r="H43" i="5"/>
  <c r="H38" i="5"/>
  <c r="B8" i="58"/>
  <c r="B8" i="55" s="1"/>
  <c r="F8" i="58"/>
  <c r="Y35" i="5"/>
  <c r="Y36" i="5"/>
  <c r="Y37" i="5"/>
  <c r="Y38" i="5"/>
  <c r="R31" i="5"/>
  <c r="R32" i="5"/>
  <c r="R33" i="5"/>
  <c r="R34" i="5"/>
  <c r="R35" i="5"/>
  <c r="S31" i="5"/>
  <c r="S32" i="5"/>
  <c r="S33" i="5"/>
  <c r="S34" i="5"/>
  <c r="S35" i="5"/>
  <c r="T31" i="5"/>
  <c r="T32" i="5"/>
  <c r="T33" i="5"/>
  <c r="T34" i="5"/>
  <c r="T35" i="5"/>
  <c r="U32" i="5"/>
  <c r="U33" i="5"/>
  <c r="U34" i="5"/>
  <c r="U35" i="5"/>
  <c r="R36" i="5"/>
  <c r="S36" i="5"/>
  <c r="T36" i="5"/>
  <c r="U36" i="5"/>
  <c r="R37" i="5"/>
  <c r="S37" i="5"/>
  <c r="T37" i="5"/>
  <c r="U37" i="5"/>
  <c r="R38" i="5"/>
  <c r="S38" i="5"/>
  <c r="T38" i="5"/>
  <c r="U38" i="5"/>
  <c r="N32" i="5"/>
  <c r="N35" i="5"/>
  <c r="N33" i="5"/>
  <c r="N36" i="5"/>
  <c r="N34" i="5"/>
  <c r="N37" i="5"/>
  <c r="N38" i="5"/>
  <c r="H37" i="5"/>
  <c r="H36" i="5"/>
  <c r="H35" i="5"/>
  <c r="AI31" i="5"/>
  <c r="AI41" i="5"/>
  <c r="AB31" i="5"/>
  <c r="AB41" i="5"/>
  <c r="AA31" i="5"/>
  <c r="AA41" i="5"/>
  <c r="N40" i="5"/>
  <c r="N41" i="5"/>
  <c r="Y31" i="5"/>
  <c r="AF31" i="5"/>
  <c r="AG31" i="5"/>
  <c r="Y34" i="5"/>
  <c r="Y33" i="5"/>
  <c r="Y32" i="5"/>
  <c r="H40" i="5"/>
  <c r="H39" i="5"/>
  <c r="H34" i="5"/>
  <c r="H33" i="5"/>
  <c r="H32" i="5"/>
  <c r="H31" i="5"/>
  <c r="J58" i="4"/>
  <c r="AD66" i="4"/>
  <c r="AC66" i="4"/>
  <c r="AB66" i="4"/>
  <c r="R69" i="4"/>
  <c r="Q67" i="4"/>
  <c r="Q68" i="4"/>
  <c r="Q69" i="4" s="1"/>
  <c r="P67" i="4"/>
  <c r="P68" i="4" s="1"/>
  <c r="P69" i="4" s="1"/>
  <c r="O67" i="4"/>
  <c r="O68" i="4" s="1"/>
  <c r="O69" i="4" s="1"/>
  <c r="L67" i="4"/>
  <c r="L69" i="4"/>
  <c r="L68" i="4"/>
  <c r="R67" i="4"/>
  <c r="R46" i="4"/>
  <c r="R47" i="4" s="1"/>
  <c r="R48" i="4" s="1"/>
  <c r="R49" i="4" s="1"/>
  <c r="R50" i="4" s="1"/>
  <c r="R51" i="4" s="1"/>
  <c r="R52" i="4" s="1"/>
  <c r="R40" i="4"/>
  <c r="R41" i="4" s="1"/>
  <c r="R42" i="4" s="1"/>
  <c r="AA47" i="4"/>
  <c r="Z47" i="4"/>
  <c r="AA46" i="4"/>
  <c r="Z46" i="4"/>
  <c r="AA45" i="4"/>
  <c r="Z45" i="4"/>
  <c r="AA44" i="4"/>
  <c r="Z44" i="4"/>
  <c r="AG8" i="5"/>
  <c r="AF8" i="5"/>
  <c r="J57" i="4"/>
  <c r="J56" i="4"/>
  <c r="J55" i="4"/>
  <c r="J54" i="4"/>
  <c r="Y9" i="5"/>
  <c r="Y10" i="5"/>
  <c r="Y11" i="5"/>
  <c r="Y8" i="5"/>
  <c r="AD38" i="4"/>
  <c r="AD42" i="4"/>
  <c r="AC38" i="4"/>
  <c r="AC42" i="4" s="1"/>
  <c r="AB38" i="4"/>
  <c r="AB42" i="4"/>
  <c r="AA42" i="4"/>
  <c r="Y41" i="4"/>
  <c r="X41" i="4"/>
  <c r="Q39" i="4"/>
  <c r="Q40" i="4"/>
  <c r="Q41" i="4" s="1"/>
  <c r="P39" i="4"/>
  <c r="P40" i="4" s="1"/>
  <c r="P41" i="4" s="1"/>
  <c r="O39" i="4"/>
  <c r="O40" i="4" s="1"/>
  <c r="O41" i="4" s="1"/>
  <c r="L41" i="4"/>
  <c r="Y40" i="4"/>
  <c r="X40" i="4"/>
  <c r="L40" i="4"/>
  <c r="Y39" i="4"/>
  <c r="X39" i="4"/>
  <c r="R39" i="4"/>
  <c r="L39" i="4"/>
  <c r="Y38" i="4"/>
  <c r="X38" i="4"/>
  <c r="B14" i="3"/>
  <c r="M9" i="51"/>
  <c r="L9" i="51"/>
  <c r="M8" i="51"/>
  <c r="L8" i="51"/>
  <c r="B8" i="51"/>
  <c r="S10" i="4"/>
  <c r="S10" i="3"/>
  <c r="B8" i="38"/>
  <c r="B9" i="38" s="1"/>
  <c r="M49" i="4"/>
  <c r="AA49" i="4"/>
  <c r="M50" i="4"/>
  <c r="AA50" i="4"/>
  <c r="M51" i="4"/>
  <c r="AA51" i="4"/>
  <c r="M52" i="4"/>
  <c r="AA52" i="4"/>
  <c r="M48" i="4"/>
  <c r="M34" i="4"/>
  <c r="M35" i="4"/>
  <c r="M36" i="4"/>
  <c r="M33" i="4"/>
  <c r="L9" i="4"/>
  <c r="L10" i="4"/>
  <c r="L11" i="4"/>
  <c r="L13" i="4"/>
  <c r="L16" i="4"/>
  <c r="L17" i="4"/>
  <c r="L18" i="4"/>
  <c r="L20" i="4"/>
  <c r="L21" i="4" s="1"/>
  <c r="L24" i="4"/>
  <c r="L25" i="4"/>
  <c r="L26" i="4"/>
  <c r="L30" i="4"/>
  <c r="L31" i="4"/>
  <c r="L32" i="4"/>
  <c r="L34" i="4"/>
  <c r="L36" i="4"/>
  <c r="L45" i="4"/>
  <c r="L46" i="4"/>
  <c r="L47" i="4"/>
  <c r="L55" i="4"/>
  <c r="L56" i="4"/>
  <c r="L57" i="4"/>
  <c r="L61" i="4"/>
  <c r="L63" i="4"/>
  <c r="L62" i="4"/>
  <c r="Y27" i="5"/>
  <c r="Y26" i="5"/>
  <c r="Y25" i="5"/>
  <c r="Y24" i="5"/>
  <c r="U25" i="5"/>
  <c r="U26" i="5"/>
  <c r="U27" i="5"/>
  <c r="U18" i="5"/>
  <c r="U19" i="5"/>
  <c r="U20" i="5"/>
  <c r="U9" i="5"/>
  <c r="U10" i="5"/>
  <c r="U11" i="5"/>
  <c r="R63" i="4"/>
  <c r="R64" i="4"/>
  <c r="R61" i="4"/>
  <c r="R57" i="4"/>
  <c r="R58" i="4" s="1"/>
  <c r="R55" i="4"/>
  <c r="R45" i="4"/>
  <c r="R30" i="4"/>
  <c r="R31" i="4"/>
  <c r="R32" i="4" s="1"/>
  <c r="R33" i="4" s="1"/>
  <c r="R34" i="4" s="1"/>
  <c r="R35" i="4" s="1"/>
  <c r="R36" i="4" s="1"/>
  <c r="S26" i="4"/>
  <c r="S25" i="4"/>
  <c r="S24" i="4"/>
  <c r="R24" i="4"/>
  <c r="R25" i="4"/>
  <c r="R26" i="4" s="1"/>
  <c r="R27" i="4" s="1"/>
  <c r="S23" i="4"/>
  <c r="S18" i="4"/>
  <c r="S17" i="4"/>
  <c r="S16" i="4"/>
  <c r="R16" i="4"/>
  <c r="R17" i="4" s="1"/>
  <c r="R18" i="4" s="1"/>
  <c r="R19" i="4" s="1"/>
  <c r="R20" i="4" s="1"/>
  <c r="R21" i="4" s="1"/>
  <c r="S15" i="4"/>
  <c r="V38" i="4"/>
  <c r="V23" i="4"/>
  <c r="U54" i="4"/>
  <c r="U60" i="4" s="1"/>
  <c r="U66" i="4" s="1"/>
  <c r="S11" i="4"/>
  <c r="S9" i="4"/>
  <c r="S8" i="4"/>
  <c r="R9" i="4"/>
  <c r="R10" i="4" s="1"/>
  <c r="R11" i="4" s="1"/>
  <c r="R18" i="3"/>
  <c r="R9" i="3"/>
  <c r="R10" i="3"/>
  <c r="R11" i="3"/>
  <c r="R12" i="3"/>
  <c r="S15" i="3"/>
  <c r="S16" i="3"/>
  <c r="S17" i="3"/>
  <c r="S18" i="3"/>
  <c r="S11" i="3"/>
  <c r="S12" i="3"/>
  <c r="S9" i="3"/>
  <c r="AF24" i="5"/>
  <c r="N14" i="5"/>
  <c r="AD60" i="4"/>
  <c r="AD64" i="4" s="1"/>
  <c r="AC60" i="4"/>
  <c r="AC64" i="4"/>
  <c r="AB60" i="4"/>
  <c r="AB64" i="4" s="1"/>
  <c r="AA64" i="4"/>
  <c r="AD54" i="4"/>
  <c r="AD58" i="4" s="1"/>
  <c r="AC54" i="4"/>
  <c r="AC58" i="4" s="1"/>
  <c r="AB54" i="4"/>
  <c r="AB58" i="4" s="1"/>
  <c r="AA58" i="4"/>
  <c r="S24" i="5"/>
  <c r="T24" i="5"/>
  <c r="T25" i="5"/>
  <c r="T26" i="5"/>
  <c r="T27" i="5"/>
  <c r="R24" i="5"/>
  <c r="R25" i="5"/>
  <c r="R26" i="5"/>
  <c r="R27" i="5"/>
  <c r="U8" i="4"/>
  <c r="U23" i="4" s="1"/>
  <c r="AI17" i="5"/>
  <c r="AB17" i="5"/>
  <c r="AI24" i="5"/>
  <c r="AA24" i="5"/>
  <c r="AA48" i="4"/>
  <c r="AD44" i="4"/>
  <c r="AD48" i="4" s="1"/>
  <c r="AD49" i="4" s="1"/>
  <c r="AD50" i="4" s="1"/>
  <c r="AD51" i="4" s="1"/>
  <c r="AD52" i="4" s="1"/>
  <c r="AC44" i="4"/>
  <c r="AC48" i="4"/>
  <c r="AC49" i="4" s="1"/>
  <c r="AC50" i="4" s="1"/>
  <c r="AC51" i="4" s="1"/>
  <c r="AC52" i="4" s="1"/>
  <c r="AB44" i="4"/>
  <c r="AB48" i="4" s="1"/>
  <c r="AB49" i="4" s="1"/>
  <c r="AB50" i="4" s="1"/>
  <c r="AB51" i="4" s="1"/>
  <c r="AB52" i="4" s="1"/>
  <c r="Y47" i="4"/>
  <c r="X47" i="4"/>
  <c r="Q45" i="4"/>
  <c r="Q46" i="4" s="1"/>
  <c r="Q47" i="4" s="1"/>
  <c r="P45" i="4"/>
  <c r="P46" i="4" s="1"/>
  <c r="P47" i="4" s="1"/>
  <c r="O45" i="4"/>
  <c r="O46" i="4"/>
  <c r="O47" i="4" s="1"/>
  <c r="Y46" i="4"/>
  <c r="X46" i="4"/>
  <c r="Y45" i="4"/>
  <c r="X45" i="4"/>
  <c r="Y44" i="4"/>
  <c r="X44" i="4"/>
  <c r="AD29" i="4"/>
  <c r="AD33" i="4" s="1"/>
  <c r="AD34" i="4" s="1"/>
  <c r="AD35" i="4" s="1"/>
  <c r="AD36" i="4" s="1"/>
  <c r="AC29" i="4"/>
  <c r="AC33" i="4" s="1"/>
  <c r="AC34" i="4" s="1"/>
  <c r="AC35" i="4" s="1"/>
  <c r="AC36" i="4" s="1"/>
  <c r="AB29" i="4"/>
  <c r="AB33" i="4" s="1"/>
  <c r="AB34" i="4" s="1"/>
  <c r="AB35" i="4" s="1"/>
  <c r="AB36" i="4" s="1"/>
  <c r="AA36" i="4"/>
  <c r="AA35" i="4"/>
  <c r="AA34" i="4"/>
  <c r="AB15" i="4"/>
  <c r="AB19" i="4" s="1"/>
  <c r="AB20" i="4" s="1"/>
  <c r="AB21" i="4" s="1"/>
  <c r="AD15" i="4"/>
  <c r="AD19" i="4" s="1"/>
  <c r="AD20" i="4" s="1"/>
  <c r="AD21" i="4" s="1"/>
  <c r="AC15" i="4"/>
  <c r="AC19" i="4" s="1"/>
  <c r="AC20" i="4" s="1"/>
  <c r="AC21" i="4" s="1"/>
  <c r="AA21" i="4"/>
  <c r="Y18" i="3"/>
  <c r="X18" i="3"/>
  <c r="P16" i="3"/>
  <c r="P17" i="3"/>
  <c r="P18" i="3"/>
  <c r="O16" i="3"/>
  <c r="O17" i="3"/>
  <c r="O18" i="3"/>
  <c r="N16" i="3"/>
  <c r="N17" i="3"/>
  <c r="N18" i="3"/>
  <c r="Y17" i="3"/>
  <c r="X17" i="3"/>
  <c r="Y16" i="3"/>
  <c r="X16" i="3"/>
  <c r="Y15" i="3"/>
  <c r="X15" i="3"/>
  <c r="N29" i="5"/>
  <c r="N22" i="5"/>
  <c r="AA8" i="5"/>
  <c r="AD24" i="5"/>
  <c r="AE24" i="5"/>
  <c r="N27" i="5"/>
  <c r="N26" i="5"/>
  <c r="N25" i="5"/>
  <c r="AD17" i="5"/>
  <c r="AE17" i="5"/>
  <c r="AD8" i="5"/>
  <c r="AE8" i="5"/>
  <c r="W8" i="5"/>
  <c r="W10" i="5"/>
  <c r="W11" i="5"/>
  <c r="N20" i="5"/>
  <c r="N19" i="5"/>
  <c r="N18" i="5"/>
  <c r="N13" i="5"/>
  <c r="N15" i="5"/>
  <c r="N11" i="5"/>
  <c r="N10" i="5"/>
  <c r="N9" i="5"/>
  <c r="AA33" i="4"/>
  <c r="AA27" i="4"/>
  <c r="AA13" i="4"/>
  <c r="AA12" i="4"/>
  <c r="AA20" i="4"/>
  <c r="AA19" i="4"/>
  <c r="AG24" i="5"/>
  <c r="S25" i="5"/>
  <c r="S26" i="5"/>
  <c r="S27" i="5"/>
  <c r="AI8" i="5"/>
  <c r="AI14" i="5"/>
  <c r="T9" i="5"/>
  <c r="T10" i="5"/>
  <c r="T11" i="5"/>
  <c r="S9" i="5"/>
  <c r="S10" i="5"/>
  <c r="S11" i="5"/>
  <c r="R9" i="5"/>
  <c r="R10" i="5"/>
  <c r="R11" i="5"/>
  <c r="W9" i="5"/>
  <c r="Q61" i="4"/>
  <c r="Q62" i="4" s="1"/>
  <c r="Q63" i="4" s="1"/>
  <c r="P61" i="4"/>
  <c r="P62" i="4"/>
  <c r="P63" i="4" s="1"/>
  <c r="O61" i="4"/>
  <c r="O62" i="4" s="1"/>
  <c r="O63" i="4" s="1"/>
  <c r="Q55" i="4"/>
  <c r="Q56" i="4" s="1"/>
  <c r="Q57" i="4" s="1"/>
  <c r="P55" i="4"/>
  <c r="P56" i="4" s="1"/>
  <c r="P57" i="4" s="1"/>
  <c r="O55" i="4"/>
  <c r="O56" i="4" s="1"/>
  <c r="O57" i="4" s="1"/>
  <c r="Y32" i="4"/>
  <c r="X32" i="4"/>
  <c r="Q30" i="4"/>
  <c r="Q31" i="4" s="1"/>
  <c r="Q32" i="4" s="1"/>
  <c r="P30" i="4"/>
  <c r="P31" i="4"/>
  <c r="P32" i="4" s="1"/>
  <c r="O30" i="4"/>
  <c r="O31" i="4" s="1"/>
  <c r="O32" i="4" s="1"/>
  <c r="Y31" i="4"/>
  <c r="X31" i="4"/>
  <c r="Y30" i="4"/>
  <c r="X30" i="4"/>
  <c r="Y29" i="4"/>
  <c r="X29" i="4"/>
  <c r="AB23" i="4"/>
  <c r="AB27" i="4" s="1"/>
  <c r="AB8" i="4"/>
  <c r="AB13" i="4"/>
  <c r="AD23" i="4"/>
  <c r="AD27" i="4"/>
  <c r="AC23" i="4"/>
  <c r="AC27" i="4" s="1"/>
  <c r="Y26" i="4"/>
  <c r="X26" i="4"/>
  <c r="Q24" i="4"/>
  <c r="Q25" i="4" s="1"/>
  <c r="Q26" i="4" s="1"/>
  <c r="P24" i="4"/>
  <c r="P25" i="4" s="1"/>
  <c r="P26" i="4" s="1"/>
  <c r="O24" i="4"/>
  <c r="O25" i="4"/>
  <c r="O26" i="4" s="1"/>
  <c r="Y25" i="4"/>
  <c r="X25" i="4"/>
  <c r="Y24" i="4"/>
  <c r="X24" i="4"/>
  <c r="Y23" i="4"/>
  <c r="X23" i="4"/>
  <c r="AD8" i="4"/>
  <c r="AD12" i="4" s="1"/>
  <c r="AD13" i="4" s="1"/>
  <c r="AC8" i="4"/>
  <c r="AC12" i="4" s="1"/>
  <c r="AC13" i="4" s="1"/>
  <c r="Y11" i="4"/>
  <c r="X11" i="4"/>
  <c r="Q9" i="4"/>
  <c r="Q10" i="4" s="1"/>
  <c r="Q11" i="4" s="1"/>
  <c r="P9" i="4"/>
  <c r="P10" i="4"/>
  <c r="P11" i="4" s="1"/>
  <c r="O9" i="4"/>
  <c r="O10" i="4" s="1"/>
  <c r="O11" i="4" s="1"/>
  <c r="Y10" i="4"/>
  <c r="X10" i="4"/>
  <c r="Y9" i="4"/>
  <c r="X9" i="4"/>
  <c r="Y8" i="4"/>
  <c r="X8" i="4"/>
  <c r="Y18" i="4"/>
  <c r="X18" i="4"/>
  <c r="Q16" i="4"/>
  <c r="Q17" i="4" s="1"/>
  <c r="Q18" i="4" s="1"/>
  <c r="P16" i="4"/>
  <c r="P17" i="4" s="1"/>
  <c r="P18" i="4" s="1"/>
  <c r="O16" i="4"/>
  <c r="O17" i="4"/>
  <c r="O18" i="4" s="1"/>
  <c r="Y17" i="4"/>
  <c r="X17" i="4"/>
  <c r="Y16" i="4"/>
  <c r="X16" i="4"/>
  <c r="Y15" i="4"/>
  <c r="X15" i="4"/>
  <c r="Y12" i="3"/>
  <c r="X12" i="3"/>
  <c r="P10" i="3"/>
  <c r="P11" i="3"/>
  <c r="P12" i="3"/>
  <c r="O10" i="3"/>
  <c r="O11" i="3"/>
  <c r="O12" i="3"/>
  <c r="N10" i="3"/>
  <c r="N11" i="3"/>
  <c r="N12" i="3"/>
  <c r="Y11" i="3"/>
  <c r="X11" i="3"/>
  <c r="Y10" i="3"/>
  <c r="X10" i="3"/>
  <c r="Y9" i="3"/>
  <c r="X9" i="3"/>
  <c r="AB8" i="5"/>
  <c r="AB14" i="5"/>
  <c r="AA14" i="5"/>
  <c r="AA15" i="5"/>
  <c r="AA17" i="5"/>
  <c r="AB12" i="4"/>
  <c r="AI15" i="5"/>
  <c r="AB24" i="5"/>
  <c r="AB15" i="5"/>
  <c r="E31" i="69" l="1"/>
  <c r="E31" i="68"/>
  <c r="E31" i="70"/>
  <c r="E31" i="72"/>
  <c r="E31" i="67"/>
  <c r="E31" i="71"/>
  <c r="E31" i="65"/>
  <c r="E31" i="66"/>
  <c r="E32" i="69"/>
  <c r="E32" i="68"/>
  <c r="E32" i="67"/>
  <c r="E32" i="66"/>
  <c r="E32" i="70"/>
  <c r="E32" i="71"/>
  <c r="E32" i="65"/>
  <c r="E32" i="72"/>
  <c r="E33" i="70"/>
  <c r="E33" i="69"/>
  <c r="E33" i="67"/>
  <c r="E33" i="72"/>
  <c r="E33" i="71"/>
  <c r="E33" i="66"/>
  <c r="E33" i="65"/>
  <c r="E33" i="68"/>
  <c r="E34" i="69"/>
  <c r="E34" i="65"/>
  <c r="E34" i="68"/>
  <c r="E34" i="71"/>
  <c r="E34" i="67"/>
  <c r="E34" i="72"/>
  <c r="E34" i="70"/>
  <c r="E34" i="66"/>
  <c r="B8" i="50"/>
  <c r="B9" i="50" s="1"/>
  <c r="B8" i="4"/>
  <c r="B15" i="4" s="1"/>
  <c r="B23" i="4" s="1"/>
  <c r="B24" i="4" s="1"/>
  <c r="B25" i="4" s="1"/>
  <c r="B26" i="4" s="1"/>
  <c r="B27" i="4" s="1"/>
  <c r="B8" i="3"/>
  <c r="B9" i="3" s="1"/>
  <c r="B10" i="3" s="1"/>
  <c r="B11" i="3" s="1"/>
  <c r="B12" i="3" s="1"/>
  <c r="B8" i="39"/>
  <c r="B8" i="37"/>
  <c r="B26" i="50"/>
  <c r="B8" i="5"/>
  <c r="B10" i="51"/>
  <c r="B38" i="4"/>
  <c r="B39" i="4" s="1"/>
  <c r="B40" i="4" s="1"/>
  <c r="B41" i="4" s="1"/>
  <c r="B42" i="4" s="1"/>
  <c r="S10" i="55"/>
  <c r="S12" i="55" s="1"/>
  <c r="Q10" i="55"/>
  <c r="Q12" i="55" s="1"/>
  <c r="R10" i="55"/>
  <c r="R12" i="55" s="1"/>
  <c r="V29" i="4"/>
  <c r="V44" i="4" s="1"/>
  <c r="V54" i="4" s="1"/>
  <c r="V60" i="4" s="1"/>
  <c r="V66" i="4" s="1"/>
  <c r="B8" i="72" l="1"/>
  <c r="B8" i="71"/>
  <c r="B8" i="69"/>
  <c r="B8" i="68"/>
  <c r="B8" i="70"/>
  <c r="B8" i="67"/>
  <c r="B8" i="66"/>
  <c r="B9" i="4"/>
  <c r="B10" i="4" s="1"/>
  <c r="B11" i="4" s="1"/>
  <c r="B12" i="4" s="1"/>
  <c r="B13" i="4" s="1"/>
  <c r="B29" i="4"/>
  <c r="B30" i="4" s="1"/>
  <c r="B31" i="4" s="1"/>
  <c r="B32" i="4" s="1"/>
  <c r="B33" i="4" s="1"/>
  <c r="B34" i="4" s="1"/>
  <c r="B35" i="4" s="1"/>
  <c r="B36" i="4" s="1"/>
  <c r="B16" i="4"/>
  <c r="B17" i="4" s="1"/>
  <c r="B18" i="4" s="1"/>
  <c r="B19" i="4" s="1"/>
  <c r="B20" i="4" s="1"/>
  <c r="B21" i="4" s="1"/>
  <c r="B24" i="5"/>
  <c r="B25" i="5" s="1"/>
  <c r="B26" i="5" s="1"/>
  <c r="B27" i="5" s="1"/>
  <c r="B28" i="5" s="1"/>
  <c r="B29" i="5" s="1"/>
  <c r="B17" i="5"/>
  <c r="B18" i="5" s="1"/>
  <c r="B19" i="5" s="1"/>
  <c r="B20" i="5" s="1"/>
  <c r="B31" i="5"/>
  <c r="B32" i="5" s="1"/>
  <c r="B33" i="5" s="1"/>
  <c r="B34" i="5" s="1"/>
  <c r="B9" i="5"/>
  <c r="B10" i="5" s="1"/>
  <c r="B11" i="5" s="1"/>
  <c r="B12" i="5" s="1"/>
  <c r="B13" i="5" s="1"/>
  <c r="B44" i="4"/>
  <c r="B54" i="4"/>
  <c r="B55" i="4" s="1"/>
  <c r="B56" i="4" s="1"/>
  <c r="B57" i="4" s="1"/>
  <c r="B58" i="4" s="1"/>
  <c r="B24" i="68" l="1"/>
  <c r="B25" i="68" s="1"/>
  <c r="B26" i="68" s="1"/>
  <c r="B27" i="68" s="1"/>
  <c r="B28" i="68" s="1"/>
  <c r="B29" i="68" s="1"/>
  <c r="B31" i="68"/>
  <c r="B32" i="68" s="1"/>
  <c r="B33" i="68" s="1"/>
  <c r="B34" i="68" s="1"/>
  <c r="B17" i="68"/>
  <c r="B18" i="68" s="1"/>
  <c r="B19" i="68" s="1"/>
  <c r="B20" i="68" s="1"/>
  <c r="B9" i="68"/>
  <c r="B10" i="68" s="1"/>
  <c r="B11" i="68" s="1"/>
  <c r="B12" i="68" s="1"/>
  <c r="B13" i="68" s="1"/>
  <c r="B24" i="66"/>
  <c r="B25" i="66" s="1"/>
  <c r="B26" i="66" s="1"/>
  <c r="B27" i="66" s="1"/>
  <c r="B28" i="66" s="1"/>
  <c r="B29" i="66" s="1"/>
  <c r="B31" i="66"/>
  <c r="B32" i="66" s="1"/>
  <c r="B33" i="66" s="1"/>
  <c r="B34" i="66" s="1"/>
  <c r="B17" i="66"/>
  <c r="B18" i="66" s="1"/>
  <c r="B19" i="66" s="1"/>
  <c r="B20" i="66" s="1"/>
  <c r="B9" i="66"/>
  <c r="B10" i="66" s="1"/>
  <c r="B11" i="66" s="1"/>
  <c r="B12" i="66" s="1"/>
  <c r="B13" i="66" s="1"/>
  <c r="B24" i="69"/>
  <c r="B25" i="69" s="1"/>
  <c r="B26" i="69" s="1"/>
  <c r="B27" i="69" s="1"/>
  <c r="B28" i="69" s="1"/>
  <c r="B29" i="69" s="1"/>
  <c r="B31" i="69"/>
  <c r="B32" i="69" s="1"/>
  <c r="B33" i="69" s="1"/>
  <c r="B34" i="69" s="1"/>
  <c r="B17" i="69"/>
  <c r="B18" i="69" s="1"/>
  <c r="B19" i="69" s="1"/>
  <c r="B20" i="69" s="1"/>
  <c r="B9" i="69"/>
  <c r="B10" i="69" s="1"/>
  <c r="B11" i="69" s="1"/>
  <c r="B12" i="69" s="1"/>
  <c r="B13" i="69" s="1"/>
  <c r="B24" i="67"/>
  <c r="B25" i="67" s="1"/>
  <c r="B26" i="67" s="1"/>
  <c r="B27" i="67" s="1"/>
  <c r="B28" i="67" s="1"/>
  <c r="B29" i="67" s="1"/>
  <c r="B17" i="67"/>
  <c r="B18" i="67" s="1"/>
  <c r="B19" i="67" s="1"/>
  <c r="B20" i="67" s="1"/>
  <c r="B31" i="67"/>
  <c r="B32" i="67" s="1"/>
  <c r="B33" i="67" s="1"/>
  <c r="B34" i="67" s="1"/>
  <c r="B9" i="67"/>
  <c r="B10" i="67" s="1"/>
  <c r="B11" i="67" s="1"/>
  <c r="B12" i="67" s="1"/>
  <c r="B13" i="67" s="1"/>
  <c r="B24" i="71"/>
  <c r="B25" i="71" s="1"/>
  <c r="B26" i="71" s="1"/>
  <c r="B27" i="71" s="1"/>
  <c r="B28" i="71" s="1"/>
  <c r="B29" i="71" s="1"/>
  <c r="B17" i="71"/>
  <c r="B18" i="71" s="1"/>
  <c r="B19" i="71" s="1"/>
  <c r="B20" i="71" s="1"/>
  <c r="B31" i="71"/>
  <c r="B32" i="71" s="1"/>
  <c r="B33" i="71" s="1"/>
  <c r="B34" i="71" s="1"/>
  <c r="B9" i="71"/>
  <c r="B10" i="71" s="1"/>
  <c r="B11" i="71" s="1"/>
  <c r="B12" i="71" s="1"/>
  <c r="B13" i="71" s="1"/>
  <c r="B31" i="70"/>
  <c r="B32" i="70" s="1"/>
  <c r="B33" i="70" s="1"/>
  <c r="B34" i="70" s="1"/>
  <c r="B17" i="70"/>
  <c r="B18" i="70" s="1"/>
  <c r="B19" i="70" s="1"/>
  <c r="B20" i="70" s="1"/>
  <c r="B24" i="70"/>
  <c r="B25" i="70" s="1"/>
  <c r="B26" i="70" s="1"/>
  <c r="B27" i="70" s="1"/>
  <c r="B28" i="70" s="1"/>
  <c r="B29" i="70" s="1"/>
  <c r="B9" i="70"/>
  <c r="B10" i="70" s="1"/>
  <c r="B11" i="70" s="1"/>
  <c r="B12" i="70" s="1"/>
  <c r="B13" i="70" s="1"/>
  <c r="B24" i="72"/>
  <c r="B25" i="72" s="1"/>
  <c r="B26" i="72" s="1"/>
  <c r="B27" i="72" s="1"/>
  <c r="B28" i="72" s="1"/>
  <c r="B29" i="72" s="1"/>
  <c r="B31" i="72"/>
  <c r="B32" i="72" s="1"/>
  <c r="B33" i="72" s="1"/>
  <c r="B34" i="72" s="1"/>
  <c r="B17" i="72"/>
  <c r="B18" i="72" s="1"/>
  <c r="B19" i="72" s="1"/>
  <c r="B20" i="72" s="1"/>
  <c r="B9" i="72"/>
  <c r="B10" i="72" s="1"/>
  <c r="B11" i="72" s="1"/>
  <c r="B12" i="72" s="1"/>
  <c r="B13" i="72" s="1"/>
  <c r="B43" i="5"/>
  <c r="B44" i="5" s="1"/>
  <c r="B45" i="5" s="1"/>
  <c r="B46" i="5" s="1"/>
  <c r="B21" i="5"/>
  <c r="B22" i="5" s="1"/>
  <c r="B39" i="5"/>
  <c r="B40" i="5" s="1"/>
  <c r="B41" i="5" s="1"/>
  <c r="B35" i="5"/>
  <c r="B36" i="5" s="1"/>
  <c r="B37" i="5" s="1"/>
  <c r="B38" i="5" s="1"/>
  <c r="B60" i="4"/>
  <c r="B61" i="4" s="1"/>
  <c r="B62" i="4" s="1"/>
  <c r="B63" i="4" s="1"/>
  <c r="B64" i="4" s="1"/>
  <c r="B45" i="4"/>
  <c r="B46" i="4" s="1"/>
  <c r="B14" i="5"/>
  <c r="B15" i="5"/>
  <c r="B43" i="70" l="1"/>
  <c r="B44" i="70" s="1"/>
  <c r="B45" i="70" s="1"/>
  <c r="B46" i="70" s="1"/>
  <c r="B21" i="70"/>
  <c r="B22" i="70" s="1"/>
  <c r="B15" i="72"/>
  <c r="B14" i="72"/>
  <c r="B14" i="70"/>
  <c r="B15" i="70"/>
  <c r="B15" i="71"/>
  <c r="B14" i="71"/>
  <c r="B14" i="67"/>
  <c r="B15" i="67"/>
  <c r="B15" i="69"/>
  <c r="B14" i="69"/>
  <c r="B15" i="66"/>
  <c r="B14" i="66"/>
  <c r="B15" i="68"/>
  <c r="B14" i="68"/>
  <c r="B43" i="72"/>
  <c r="B44" i="72" s="1"/>
  <c r="B45" i="72" s="1"/>
  <c r="B46" i="72" s="1"/>
  <c r="B21" i="72"/>
  <c r="B22" i="72" s="1"/>
  <c r="B35" i="71"/>
  <c r="B36" i="71" s="1"/>
  <c r="B37" i="71" s="1"/>
  <c r="B38" i="71" s="1"/>
  <c r="B39" i="71"/>
  <c r="B40" i="71" s="1"/>
  <c r="B41" i="71" s="1"/>
  <c r="B39" i="67"/>
  <c r="B40" i="67" s="1"/>
  <c r="B41" i="67" s="1"/>
  <c r="B35" i="67"/>
  <c r="B36" i="67" s="1"/>
  <c r="B37" i="67" s="1"/>
  <c r="B38" i="67" s="1"/>
  <c r="B43" i="69"/>
  <c r="B44" i="69" s="1"/>
  <c r="B45" i="69" s="1"/>
  <c r="B46" i="69" s="1"/>
  <c r="B21" i="69"/>
  <c r="B22" i="69" s="1"/>
  <c r="B21" i="66"/>
  <c r="B22" i="66" s="1"/>
  <c r="B43" i="66"/>
  <c r="B44" i="66" s="1"/>
  <c r="B45" i="66" s="1"/>
  <c r="B46" i="66" s="1"/>
  <c r="B43" i="68"/>
  <c r="B44" i="68" s="1"/>
  <c r="B45" i="68" s="1"/>
  <c r="B46" i="68" s="1"/>
  <c r="B21" i="68"/>
  <c r="B22" i="68" s="1"/>
  <c r="B43" i="71"/>
  <c r="B44" i="71" s="1"/>
  <c r="B45" i="71" s="1"/>
  <c r="B46" i="71" s="1"/>
  <c r="B21" i="71"/>
  <c r="B22" i="71" s="1"/>
  <c r="B43" i="67"/>
  <c r="B44" i="67" s="1"/>
  <c r="B45" i="67" s="1"/>
  <c r="B46" i="67" s="1"/>
  <c r="B21" i="67"/>
  <c r="B22" i="67" s="1"/>
  <c r="B39" i="69"/>
  <c r="B40" i="69" s="1"/>
  <c r="B41" i="69" s="1"/>
  <c r="B35" i="69"/>
  <c r="B36" i="69" s="1"/>
  <c r="B37" i="69" s="1"/>
  <c r="B38" i="69" s="1"/>
  <c r="B35" i="66"/>
  <c r="B36" i="66" s="1"/>
  <c r="B37" i="66" s="1"/>
  <c r="B38" i="66" s="1"/>
  <c r="B39" i="66"/>
  <c r="B40" i="66" s="1"/>
  <c r="B41" i="66" s="1"/>
  <c r="B35" i="68"/>
  <c r="B36" i="68" s="1"/>
  <c r="B37" i="68" s="1"/>
  <c r="B38" i="68" s="1"/>
  <c r="B39" i="68"/>
  <c r="B40" i="68" s="1"/>
  <c r="B41" i="68" s="1"/>
  <c r="B39" i="72"/>
  <c r="B40" i="72" s="1"/>
  <c r="B41" i="72" s="1"/>
  <c r="B35" i="72"/>
  <c r="B36" i="72" s="1"/>
  <c r="B37" i="72" s="1"/>
  <c r="B38" i="72" s="1"/>
  <c r="B39" i="70"/>
  <c r="B40" i="70" s="1"/>
  <c r="B41" i="70" s="1"/>
  <c r="B35" i="70"/>
  <c r="B36" i="70" s="1"/>
  <c r="B37" i="70" s="1"/>
  <c r="B38" i="70" s="1"/>
  <c r="B47" i="4"/>
  <c r="B50" i="4"/>
  <c r="B66" i="4" s="1"/>
  <c r="B67" i="4" s="1"/>
  <c r="B68" i="4" s="1"/>
  <c r="B69" i="4" s="1"/>
  <c r="B48" i="4" l="1"/>
  <c r="B51" i="4"/>
  <c r="B52" i="4" l="1"/>
  <c r="B49" i="4"/>
</calcChain>
</file>

<file path=xl/sharedStrings.xml><?xml version="1.0" encoding="utf-8"?>
<sst xmlns="http://schemas.openxmlformats.org/spreadsheetml/2006/main" count="7784" uniqueCount="1589">
  <si>
    <t>Date:</t>
  </si>
  <si>
    <t>Author(s):</t>
  </si>
  <si>
    <t>NOTES</t>
  </si>
  <si>
    <t>This file is Example and will be used to generate some basic configurations with the sample templates distributed with i-Gen tool.</t>
  </si>
  <si>
    <t xml:space="preserve">The formulas and data validations intend to guide the users. </t>
  </si>
  <si>
    <t xml:space="preserve">This file is based on Relational Data Model. It has multiple pages and the data in different pages are related.
   * Top-Level object in your Relational Data model should have ID column. They can be referred by other pages. Top-Level objects are likely nodes.  
   * Any other worksheets can also have ID column if they will be referred by other worksheets.  
   * Relational and Non-Relational Data models are explained in the Documentation.  
</t>
  </si>
  <si>
    <t>##</t>
  </si>
  <si>
    <t>Contact</t>
  </si>
  <si>
    <t>Primary_Ntp</t>
  </si>
  <si>
    <t>Secondary_Ntp</t>
  </si>
  <si>
    <t>Coordinates</t>
  </si>
  <si>
    <t>Location</t>
  </si>
  <si>
    <t>TimeZone</t>
  </si>
  <si>
    <t>IST 05:30</t>
  </si>
  <si>
    <t>customer input</t>
  </si>
  <si>
    <t>recommended value</t>
  </si>
  <si>
    <t>fixed value</t>
  </si>
  <si>
    <t>Node_ID</t>
  </si>
  <si>
    <t>VRFName</t>
  </si>
  <si>
    <t>Port</t>
  </si>
  <si>
    <t>VLAN</t>
  </si>
  <si>
    <t>InterfaceName</t>
  </si>
  <si>
    <t>Address</t>
  </si>
  <si>
    <t>Gateway</t>
  </si>
  <si>
    <t>InterfaceType</t>
  </si>
  <si>
    <t>tx</t>
  </si>
  <si>
    <t>rcv</t>
  </si>
  <si>
    <t>multiplier</t>
  </si>
  <si>
    <t>routerid</t>
  </si>
  <si>
    <t>localAS</t>
  </si>
  <si>
    <t>peerAS</t>
  </si>
  <si>
    <t>localAddress</t>
  </si>
  <si>
    <t>neighbor</t>
  </si>
  <si>
    <t>PrefixlistName</t>
  </si>
  <si>
    <t>CP -BASE-GRT</t>
  </si>
  <si>
    <t>system</t>
  </si>
  <si>
    <t>NA</t>
  </si>
  <si>
    <t>1/1/1</t>
  </si>
  <si>
    <t>1/1/2</t>
  </si>
  <si>
    <t>2/1/1</t>
  </si>
  <si>
    <t>2/1/2</t>
  </si>
  <si>
    <t>BGP</t>
  </si>
  <si>
    <t>Description</t>
  </si>
  <si>
    <t>VPRN</t>
  </si>
  <si>
    <t>VRFExportBGPName</t>
  </si>
  <si>
    <t>BILLING</t>
  </si>
  <si>
    <t>BILLING-LB1-Port1</t>
  </si>
  <si>
    <t>BILLING-LB1-Port2</t>
  </si>
  <si>
    <t>BILLING-LB2-Port1</t>
  </si>
  <si>
    <t>BILLING-LB2-Port2</t>
  </si>
  <si>
    <t>cMG-OFCS</t>
  </si>
  <si>
    <t>cMG-OCS</t>
  </si>
  <si>
    <t>SIGNAL</t>
  </si>
  <si>
    <t>SIGNAL-LB1-Port1</t>
  </si>
  <si>
    <t>SIGNAL-LB1-Port2</t>
  </si>
  <si>
    <t>SIGNAL-LB2-Port1</t>
  </si>
  <si>
    <t>SIGNAL-LB2-Port2</t>
  </si>
  <si>
    <t>cMG-PCRF</t>
  </si>
  <si>
    <t>cMG-AAA</t>
  </si>
  <si>
    <t>LI-LB1-Port1</t>
  </si>
  <si>
    <t>LI-LB1-Port2</t>
  </si>
  <si>
    <t>LI-LB2-Port1</t>
  </si>
  <si>
    <t>LI-LB2-Port2</t>
  </si>
  <si>
    <t>PGW-LI DF2</t>
  </si>
  <si>
    <t>Physical1</t>
  </si>
  <si>
    <t>Physical2</t>
  </si>
  <si>
    <t>Physical3</t>
  </si>
  <si>
    <t>Physical4</t>
  </si>
  <si>
    <t>Loopback1</t>
  </si>
  <si>
    <t>Loopback2</t>
  </si>
  <si>
    <t>Loopback3</t>
  </si>
  <si>
    <t>VRFImportName</t>
  </si>
  <si>
    <t>Loopback4</t>
  </si>
  <si>
    <t>StaticRouteNextHop</t>
  </si>
  <si>
    <t>VPRNExportName</t>
  </si>
  <si>
    <t>AddinPrefixlist</t>
  </si>
  <si>
    <t>nexthop1</t>
  </si>
  <si>
    <t>nexthop2</t>
  </si>
  <si>
    <t>AssociatedLBVPRN</t>
  </si>
  <si>
    <t>3/3/1</t>
  </si>
  <si>
    <t>3/3/2</t>
  </si>
  <si>
    <t>4/3/1</t>
  </si>
  <si>
    <t>4/3/2</t>
  </si>
  <si>
    <t>no</t>
  </si>
  <si>
    <t>yes</t>
  </si>
  <si>
    <t>5/3/2</t>
  </si>
  <si>
    <t>6/3/1</t>
  </si>
  <si>
    <t>6/3/2</t>
  </si>
  <si>
    <t>IPv6Address</t>
  </si>
  <si>
    <t>IPv6Gateway</t>
  </si>
  <si>
    <t>IPv6nexthop1</t>
  </si>
  <si>
    <t>IPv6nexthop2</t>
  </si>
  <si>
    <t>IPv6StaticRouteNextHop</t>
  </si>
  <si>
    <t>IPv6localAddress</t>
  </si>
  <si>
    <t>IPv6neighbor</t>
  </si>
  <si>
    <t>BGPType</t>
  </si>
  <si>
    <t>System_loopback</t>
  </si>
  <si>
    <t>Interface</t>
  </si>
  <si>
    <t>CardSlot</t>
  </si>
  <si>
    <t>CardType</t>
  </si>
  <si>
    <t>iom-v</t>
  </si>
  <si>
    <t>iom-v-mg</t>
  </si>
  <si>
    <t>m20-v</t>
  </si>
  <si>
    <t>isa-mg-v</t>
  </si>
  <si>
    <t>SGW-Ga-OFCS-Peer</t>
  </si>
  <si>
    <t>PGW-Ga-OFCS-Peer</t>
  </si>
  <si>
    <t>HOME</t>
  </si>
  <si>
    <t>acct</t>
  </si>
  <si>
    <t>radius_group_sig</t>
  </si>
  <si>
    <t>PGW-Gy-OCS-Peer-2</t>
  </si>
  <si>
    <t>Gy-Loopback</t>
  </si>
  <si>
    <t>PGW-Gy-OCS-Peer-1</t>
  </si>
  <si>
    <t>Gx-Loopback</t>
  </si>
  <si>
    <t>32251@3gpp.org</t>
  </si>
  <si>
    <t>OCS-DCCA-2</t>
  </si>
  <si>
    <t>OCS-DCCA-1</t>
  </si>
  <si>
    <t>GaLoopback</t>
  </si>
  <si>
    <t>GaVPRN</t>
  </si>
  <si>
    <t>RadLoopback</t>
  </si>
  <si>
    <t>RadVPRN</t>
  </si>
  <si>
    <t>SourceIP</t>
  </si>
  <si>
    <t>Read-only</t>
  </si>
  <si>
    <t>UserName</t>
  </si>
  <si>
    <t>UserPassword</t>
  </si>
  <si>
    <t>Read-Write</t>
  </si>
  <si>
    <t>APNName</t>
  </si>
  <si>
    <t>IdleTimer</t>
  </si>
  <si>
    <t>PrimDNSIPIPv4</t>
  </si>
  <si>
    <t>SecDNSIPIPv4</t>
  </si>
  <si>
    <t>PrimDNSIPIPv6</t>
  </si>
  <si>
    <t>SecDNSIPIPv6</t>
  </si>
  <si>
    <t>GiVPRN</t>
  </si>
  <si>
    <t>RadGroupName</t>
  </si>
  <si>
    <t>www-pool1</t>
  </si>
  <si>
    <t>admin</t>
  </si>
  <si>
    <t>AccessConsole</t>
  </si>
  <si>
    <t>AccessLI</t>
  </si>
  <si>
    <t>AccessFTP</t>
  </si>
  <si>
    <t>administrative</t>
  </si>
  <si>
    <t>liuser</t>
  </si>
  <si>
    <t>UEIPPool</t>
  </si>
  <si>
    <t>192.168.0.1/30</t>
  </si>
  <si>
    <t>192.168.0.129/30</t>
  </si>
  <si>
    <t>192.168.0.21/30</t>
  </si>
  <si>
    <t>192.168.0.149/30</t>
  </si>
  <si>
    <t>192.168.0.2/30</t>
  </si>
  <si>
    <t>192.168.0.130/30</t>
  </si>
  <si>
    <t>192.168.0.22/30</t>
  </si>
  <si>
    <t>192.168.0.150/30</t>
  </si>
  <si>
    <t>UP -BASE-GRT</t>
  </si>
  <si>
    <t>192.168.1.1/30</t>
  </si>
  <si>
    <t>192.168.1.2/30</t>
  </si>
  <si>
    <t>192.168.2.1/30</t>
  </si>
  <si>
    <t>192.168.2.2/30</t>
  </si>
  <si>
    <t>192.168.1.97/30</t>
  </si>
  <si>
    <t>192.168.1.98/30</t>
  </si>
  <si>
    <t>192.168.2.97/30</t>
  </si>
  <si>
    <t>192.168.2.98/30</t>
  </si>
  <si>
    <t>192.168.0.9/30</t>
  </si>
  <si>
    <t>192.168.0.10/30</t>
  </si>
  <si>
    <t>192.168.0.137/30</t>
  </si>
  <si>
    <t>192.168.0.138/30</t>
  </si>
  <si>
    <t>192.168.0.29/30</t>
  </si>
  <si>
    <t>192.168.0.30/30</t>
  </si>
  <si>
    <t>192.168.0.157/30</t>
  </si>
  <si>
    <t>192.168.0.158/30</t>
  </si>
  <si>
    <t>Ga-PGW-Loopback</t>
  </si>
  <si>
    <t>Ga-SGW-Loopback</t>
  </si>
  <si>
    <t>Gy-loopback</t>
  </si>
  <si>
    <t>192.168.0.5/30</t>
  </si>
  <si>
    <t>192.168.0.6/30</t>
  </si>
  <si>
    <t>192.168.0.133/30</t>
  </si>
  <si>
    <t>192.168.0.134/30</t>
  </si>
  <si>
    <t>192.168.0.25/30</t>
  </si>
  <si>
    <t>192.168.0.26/30</t>
  </si>
  <si>
    <t>192.168.0.153/30</t>
  </si>
  <si>
    <t>192.168.0.154/30</t>
  </si>
  <si>
    <t>RADIUS-Loopback</t>
  </si>
  <si>
    <t>CP -LI</t>
  </si>
  <si>
    <t>192.168.0.13/30</t>
  </si>
  <si>
    <t>192.168.0.14/30</t>
  </si>
  <si>
    <t>192.168.0.141/30</t>
  </si>
  <si>
    <t>192.168.0.142/30</t>
  </si>
  <si>
    <t>192.168.0.33/30</t>
  </si>
  <si>
    <t>192.168.0.34/30</t>
  </si>
  <si>
    <t>192.168.0.161/30</t>
  </si>
  <si>
    <t>192.168.0.162/30</t>
  </si>
  <si>
    <t>X2-Loopback</t>
  </si>
  <si>
    <t>UP -LI</t>
  </si>
  <si>
    <t>192.168.1.5/30</t>
  </si>
  <si>
    <t>192.168.1.6/30</t>
  </si>
  <si>
    <t>192.168.2.5/30</t>
  </si>
  <si>
    <t>192.168.2.6/30</t>
  </si>
  <si>
    <t>192.168.1.101/30</t>
  </si>
  <si>
    <t>192.168.1.102/30</t>
  </si>
  <si>
    <t>192.168.2.101/30</t>
  </si>
  <si>
    <t>192.168.2.102/30</t>
  </si>
  <si>
    <t>X3u-Loopback</t>
  </si>
  <si>
    <t>CP-CORE</t>
  </si>
  <si>
    <t>192.168.0.17/30</t>
  </si>
  <si>
    <t>192.168.0.18/30</t>
  </si>
  <si>
    <t>192.168.0.145/30</t>
  </si>
  <si>
    <t>192.168.0.146/30</t>
  </si>
  <si>
    <t>192.168.0.37/30</t>
  </si>
  <si>
    <t>192.168.0.38/30</t>
  </si>
  <si>
    <t>192.168.0.165/30</t>
  </si>
  <si>
    <t>192.168.0.166/30</t>
  </si>
  <si>
    <t>10</t>
  </si>
  <si>
    <t>12</t>
  </si>
  <si>
    <t>192.168.1.193/27</t>
  </si>
  <si>
    <t>192.168.1.222/27</t>
  </si>
  <si>
    <t>192.168.2.193/27</t>
  </si>
  <si>
    <t>192.168.2.222/27</t>
  </si>
  <si>
    <t>192.168.1.225/27</t>
  </si>
  <si>
    <t>192.168.1.254/27</t>
  </si>
  <si>
    <t>192.168.2.225/27</t>
  </si>
  <si>
    <t>192.168.2.254/27</t>
  </si>
  <si>
    <t>UP-CORE</t>
  </si>
  <si>
    <t>192.168.1.33/27</t>
  </si>
  <si>
    <t>192.168.1.62/27</t>
  </si>
  <si>
    <t>192.168.2.33/27</t>
  </si>
  <si>
    <t>192.168.2.62/27</t>
  </si>
  <si>
    <t>192.168.1.129/27</t>
  </si>
  <si>
    <t>192.168.1.158/27</t>
  </si>
  <si>
    <t>192.168.2.129/27</t>
  </si>
  <si>
    <t>192.168.2.158/27</t>
  </si>
  <si>
    <t>UP-INTERNET</t>
  </si>
  <si>
    <t>UP-IMS</t>
  </si>
  <si>
    <t>192.168.1.65/27</t>
  </si>
  <si>
    <t>192.168.1.94/27</t>
  </si>
  <si>
    <t>192.168.2.65/27</t>
  </si>
  <si>
    <t>192.168.2.94/27</t>
  </si>
  <si>
    <t>192.168.1.161/27</t>
  </si>
  <si>
    <t>192.168.1.190/27</t>
  </si>
  <si>
    <t>192.168.2.161/27</t>
  </si>
  <si>
    <t>192.168.2.190/27</t>
  </si>
  <si>
    <t>192.168.1.194/27</t>
  </si>
  <si>
    <t>192.168.2.194/27</t>
  </si>
  <si>
    <t>192.168.1.226/27</t>
  </si>
  <si>
    <t>192.168.2.226/27</t>
  </si>
  <si>
    <t>192.168.1.195/27</t>
  </si>
  <si>
    <t>192.168.2.195/27</t>
  </si>
  <si>
    <t>192.168.1.227/27</t>
  </si>
  <si>
    <t>192.168.2.227/27</t>
  </si>
  <si>
    <t>192.168.1.196/27</t>
  </si>
  <si>
    <t>192.168.2.196/27</t>
  </si>
  <si>
    <t>192.168.1.228/27</t>
  </si>
  <si>
    <t>192.168.2.228/27</t>
  </si>
  <si>
    <t>192.168.1.197/27</t>
  </si>
  <si>
    <t>192.168.2.197/27</t>
  </si>
  <si>
    <t>192.168.1.229/27</t>
  </si>
  <si>
    <t>192.168.2.229/27</t>
  </si>
  <si>
    <t>192.168.3.1/32</t>
  </si>
  <si>
    <t>192.168.3.3/32</t>
  </si>
  <si>
    <t>192.168.3.5/32</t>
  </si>
  <si>
    <t>192.168.3.7/32</t>
  </si>
  <si>
    <t>192.168.3.9/32</t>
  </si>
  <si>
    <t>192.168.3.11/32</t>
  </si>
  <si>
    <t>192.168.3.13/32</t>
  </si>
  <si>
    <t>192.168.3.15/32</t>
  </si>
  <si>
    <t>UP-CORE-MG-GRP-1-PGW_S5-S8-lo</t>
  </si>
  <si>
    <t>UP-CORE-MG-GRP-2-PGW_S5-S8-lo</t>
  </si>
  <si>
    <t>UP-CORE-MG-GRP-3-PGW_S5-S8-lo</t>
  </si>
  <si>
    <t>UP-CORE-MG-GRP-4-PGW_S5-S8-lo</t>
  </si>
  <si>
    <t>192.168.1.34/27</t>
  </si>
  <si>
    <t>192.168.2.34/27</t>
  </si>
  <si>
    <t>192.168.1.130/27</t>
  </si>
  <si>
    <t>192.168.2.130/27</t>
  </si>
  <si>
    <t>192.168.1.35/27</t>
  </si>
  <si>
    <t>192.168.2.35/27</t>
  </si>
  <si>
    <t>192.168.1.131/27</t>
  </si>
  <si>
    <t>192.168.2.131/27</t>
  </si>
  <si>
    <t>192.168.1.36/27</t>
  </si>
  <si>
    <t>192.168.2.36/27</t>
  </si>
  <si>
    <t>192.168.1.132/27</t>
  </si>
  <si>
    <t>192.168.2.132/27</t>
  </si>
  <si>
    <t>192.168.1.37/27</t>
  </si>
  <si>
    <t>192.168.2.37/27</t>
  </si>
  <si>
    <t>192.168.1.133/27</t>
  </si>
  <si>
    <t>192.168.2.133/27</t>
  </si>
  <si>
    <t>192.168.3.39/32</t>
  </si>
  <si>
    <t>192.168.3.41/32</t>
  </si>
  <si>
    <t>192.168.3.43/32</t>
  </si>
  <si>
    <t>192.168.3.45/32</t>
  </si>
  <si>
    <t>192.168.3.47/32</t>
  </si>
  <si>
    <t>192.168.3.49/32</t>
  </si>
  <si>
    <t>192.168.3.51/32</t>
  </si>
  <si>
    <t>192.168.3.53/32</t>
  </si>
  <si>
    <t>192.168.1.66/27</t>
  </si>
  <si>
    <t>192.168.2.66/27</t>
  </si>
  <si>
    <t>192.168.1.162/27</t>
  </si>
  <si>
    <t>192.168.2.162/27</t>
  </si>
  <si>
    <t>192.168.1.67/27</t>
  </si>
  <si>
    <t>192.168.2.67/27</t>
  </si>
  <si>
    <t>192.168.1.163/27</t>
  </si>
  <si>
    <t>192.168.2.163/27</t>
  </si>
  <si>
    <t>192.168.1.68/27</t>
  </si>
  <si>
    <t>192.168.2.68/27</t>
  </si>
  <si>
    <t>192.168.1.164/27</t>
  </si>
  <si>
    <t>192.168.2.164/27</t>
  </si>
  <si>
    <t>192.168.1.69/27</t>
  </si>
  <si>
    <t>192.168.2.69/27</t>
  </si>
  <si>
    <t>192.168.1.165/27</t>
  </si>
  <si>
    <t>192.168.2.165/27</t>
  </si>
  <si>
    <t>192.168.3.75/32</t>
  </si>
  <si>
    <t>192.168.3.77/32</t>
  </si>
  <si>
    <t>192.168.3.79/32</t>
  </si>
  <si>
    <t>192.168.3.81/32</t>
  </si>
  <si>
    <t>192.168.3.83/32</t>
  </si>
  <si>
    <t>192.168.3.85/32</t>
  </si>
  <si>
    <t>192.168.3.87/32</t>
  </si>
  <si>
    <t>192.168.3.89/32</t>
  </si>
  <si>
    <t>internal</t>
  </si>
  <si>
    <t>Sgi-loopback</t>
  </si>
  <si>
    <t>Gm-loopback</t>
  </si>
  <si>
    <t>UP-CORE-MG-GRP-1-S1u-SGW_S5-lo</t>
  </si>
  <si>
    <t>UP-CORE-MG-GRP-2-S1u-SGW_S5-lo</t>
  </si>
  <si>
    <t>UP-CORE-MG-GRP-3-S1u-SGW_S5-lo</t>
  </si>
  <si>
    <t>UP-CORE-MG-GRP-4-S1u-SGW_S5-lo</t>
  </si>
  <si>
    <t>UP-BASE-GRT-LB1-Port1</t>
  </si>
  <si>
    <t>UP-BASE-GRT-LB1-Port2</t>
  </si>
  <si>
    <t>UP-BASE-GRT-LB2-Port1</t>
  </si>
  <si>
    <t>UP-BASE-GRT-LB2-Port2</t>
  </si>
  <si>
    <t>UP-CORE-LB1-Port1</t>
  </si>
  <si>
    <t>UP-CORE-LB1-Port2</t>
  </si>
  <si>
    <t>UP-CORE-LB2-Port1</t>
  </si>
  <si>
    <t>UP-CORE-LB2-Port2</t>
  </si>
  <si>
    <t>UP-CORE-MG5-PORT-1</t>
  </si>
  <si>
    <t>UP-CORE-MG5-PORT-2</t>
  </si>
  <si>
    <t>UP-CORE-MG6-PORT-1</t>
  </si>
  <si>
    <t>UP-CORE-MG6-PORT-2</t>
  </si>
  <si>
    <t>UP-CORE-MG-GRP-2-lo1</t>
  </si>
  <si>
    <t>UP-CORE-MG-GRP-2-lo2</t>
  </si>
  <si>
    <t>UP-INTERNET-LB1-Port1</t>
  </si>
  <si>
    <t>UP-INTERNET-LB1-Port2</t>
  </si>
  <si>
    <t>UP-INTERNET-LB2-Port1</t>
  </si>
  <si>
    <t>UP-INTERNET-LB2-Port2</t>
  </si>
  <si>
    <t>UP-INTERNET-MG-GRP-2-lo1</t>
  </si>
  <si>
    <t>UP-INTERNET-MG-GRP-2-lo2</t>
  </si>
  <si>
    <t>UP-INTERNET-MG-GRP-4-lo1</t>
  </si>
  <si>
    <t>UP-INTERNET-MG5-PORT-1</t>
  </si>
  <si>
    <t>UP-INTERNET-MG-GRP-4-lo2</t>
  </si>
  <si>
    <t>UP-INTERNET-MG5-PORT-2</t>
  </si>
  <si>
    <t>UP-INTERNET-MG6-PORT-1</t>
  </si>
  <si>
    <t>UP-INTERNET-MG6-PORT-2</t>
  </si>
  <si>
    <t>UP-INTERNET-MG9-PORT-1</t>
  </si>
  <si>
    <t>UP-INTERNET-MG9-PORT-2</t>
  </si>
  <si>
    <t>UP-INTERNET-MG10-PORT-1</t>
  </si>
  <si>
    <t>UP-INTERNET-MG10-PORT-2</t>
  </si>
  <si>
    <t>UP-CORE-MG-GRP-3-lo1</t>
  </si>
  <si>
    <t>UP-CORE-MG-GRP-3-lo2</t>
  </si>
  <si>
    <t>UP-CORE-MG-GRP-4-lo1</t>
  </si>
  <si>
    <t>UP-CORE-MG-GRP-4-lo2</t>
  </si>
  <si>
    <t>UP-CORE-MG7-PORT-1</t>
  </si>
  <si>
    <t>UP-CORE-MG7-PORT-2</t>
  </si>
  <si>
    <t>UP-CORE-MG8-PORT-1</t>
  </si>
  <si>
    <t>UP-CORE-MG8-PORT-2</t>
  </si>
  <si>
    <t>UP-CORE-MG9-PORT-1</t>
  </si>
  <si>
    <t>UP-CORE-MG9-PORT-2</t>
  </si>
  <si>
    <t>UP-CORE-MG10-PORT-1</t>
  </si>
  <si>
    <t>UP-CORE-MG10-PORT-2</t>
  </si>
  <si>
    <t>UP-LI-LB1-Port1</t>
  </si>
  <si>
    <t>UP-LI-LB1-Port2</t>
  </si>
  <si>
    <t>UP-LI-LB2-Port1</t>
  </si>
  <si>
    <t>UP-LI-LB2-Port2</t>
  </si>
  <si>
    <t>CP-CORE-LB1-Port1</t>
  </si>
  <si>
    <t>CP-CORE-LB1-Port2</t>
  </si>
  <si>
    <t>CP-CORE-LB2-Port1</t>
  </si>
  <si>
    <t>CP-CORE-LB2-Port2</t>
  </si>
  <si>
    <t>RoutingType</t>
  </si>
  <si>
    <t>Static</t>
  </si>
  <si>
    <t>5/3/1</t>
  </si>
  <si>
    <t>Interface Data</t>
  </si>
  <si>
    <t>Routing/Policy Data</t>
  </si>
  <si>
    <t>BFD Data</t>
  </si>
  <si>
    <t>Routing Data</t>
  </si>
  <si>
    <t>Policy Data</t>
  </si>
  <si>
    <t>external</t>
  </si>
  <si>
    <t>Supported Options</t>
  </si>
  <si>
    <t>CP-BASE-GRT-LB1-Port1</t>
  </si>
  <si>
    <t>CP-BASE-GRT-LB1-Port2</t>
  </si>
  <si>
    <t>CP-BASE-GRT-LB2-Port1</t>
  </si>
  <si>
    <t>CP-BASE-GRT-LB2-Port2</t>
  </si>
  <si>
    <t>MCC</t>
  </si>
  <si>
    <t>MNC</t>
  </si>
  <si>
    <t>gx</t>
  </si>
  <si>
    <t>gy</t>
  </si>
  <si>
    <t>Ccvalue</t>
  </si>
  <si>
    <t>sgw</t>
  </si>
  <si>
    <t>SGW Charging Profile for Roaming-Visitor Subs CC 4</t>
  </si>
  <si>
    <t>SGW Charging Profile for Roaming-Visitor Subs CC 8</t>
  </si>
  <si>
    <t>SGW Charging Profile for Roaming-Visitor CC 1</t>
  </si>
  <si>
    <t>SGW Charging Profile for Roaming-Visitor Subs CC 2</t>
  </si>
  <si>
    <t>pgw</t>
  </si>
  <si>
    <t>PGW Charging Profile0</t>
  </si>
  <si>
    <t>PGW Charging Profile for Home Subs</t>
  </si>
  <si>
    <t>PGW Charging Profile For CC 2</t>
  </si>
  <si>
    <t>PGW Charging Profile For CC 4</t>
  </si>
  <si>
    <t>PGW Charging Profile For CC 8</t>
  </si>
  <si>
    <t>default</t>
  </si>
  <si>
    <t>HomePlmnList</t>
  </si>
  <si>
    <t>Diameterpeer</t>
  </si>
  <si>
    <t>DestinationRealm</t>
  </si>
  <si>
    <t>DiameterProfile</t>
  </si>
  <si>
    <t>ProfileDcca</t>
  </si>
  <si>
    <t>Applicationtxtimer</t>
  </si>
  <si>
    <t>Servicecontextid</t>
  </si>
  <si>
    <t>OffLine</t>
  </si>
  <si>
    <t>ExcludeZeroVolCdr</t>
  </si>
  <si>
    <t>ChargingInfoTrigger</t>
  </si>
  <si>
    <t>TimeLimit</t>
  </si>
  <si>
    <t>VolumeLimit</t>
  </si>
  <si>
    <t>OnLine</t>
  </si>
  <si>
    <t>DccaProfile</t>
  </si>
  <si>
    <t>PriOcsDiaPeer</t>
  </si>
  <si>
    <t>SecOcsDiaPeer</t>
  </si>
  <si>
    <t>RadServerType</t>
  </si>
  <si>
    <t>Product:</t>
  </si>
  <si>
    <t xml:space="preserve">Nokia 7750 CMG </t>
  </si>
  <si>
    <t>Input mode:</t>
  </si>
  <si>
    <t>Mda1Type</t>
  </si>
  <si>
    <t>Mda2Type</t>
  </si>
  <si>
    <t>isa-aa-v</t>
  </si>
  <si>
    <t>isa-ip-reas-v</t>
  </si>
  <si>
    <t>Mda3Type</t>
  </si>
  <si>
    <t>isa-bb-v</t>
  </si>
  <si>
    <t>AccessSNMP</t>
  </si>
  <si>
    <t>AccessNetconf</t>
  </si>
  <si>
    <t>ConsoleMember1</t>
  </si>
  <si>
    <t>ConsoleMember2</t>
  </si>
  <si>
    <t>li-profile</t>
  </si>
  <si>
    <t>PasswordNeverAging</t>
  </si>
  <si>
    <t>LogID</t>
  </si>
  <si>
    <t>FromMain</t>
  </si>
  <si>
    <t>FromSecurity</t>
  </si>
  <si>
    <t>FromChange</t>
  </si>
  <si>
    <t>ToSyslog</t>
  </si>
  <si>
    <t>SyslogID</t>
  </si>
  <si>
    <t>ToFile</t>
  </si>
  <si>
    <t>FileID</t>
  </si>
  <si>
    <t>TimeFormatLocal</t>
  </si>
  <si>
    <t>FromDebugTrace</t>
  </si>
  <si>
    <t>FileLocation</t>
  </si>
  <si>
    <t>FileRollover</t>
  </si>
  <si>
    <t>FileRetention</t>
  </si>
  <si>
    <t>FileDescription</t>
  </si>
  <si>
    <t>SyslogDescription</t>
  </si>
  <si>
    <t>SyslogServerIP</t>
  </si>
  <si>
    <t>SyslogServerPort</t>
  </si>
  <si>
    <t>10.174.19.12</t>
  </si>
  <si>
    <t>AccountingPolicy</t>
  </si>
  <si>
    <t>Record</t>
  </si>
  <si>
    <t>CollectionInterval</t>
  </si>
  <si>
    <t>KPI-KCI Collection For vSPGW</t>
  </si>
  <si>
    <t>complete-kpi-kci</t>
  </si>
  <si>
    <t>KPI-KCI-storage</t>
  </si>
  <si>
    <t>cf1</t>
  </si>
  <si>
    <t>GTPPrimeGroupName</t>
  </si>
  <si>
    <t>ClosureSize</t>
  </si>
  <si>
    <t>ClosureRecordNumber</t>
  </si>
  <si>
    <t>CDR-local-Storage</t>
  </si>
  <si>
    <t>NodeAlive</t>
  </si>
  <si>
    <t>GTPServerIP</t>
  </si>
  <si>
    <t>GTPServePort</t>
  </si>
  <si>
    <t>PfcpPeerAddress</t>
  </si>
  <si>
    <t>NetworkRealm</t>
  </si>
  <si>
    <t>UPF</t>
  </si>
  <si>
    <t>up-list-1</t>
  </si>
  <si>
    <t>PfcpAssociationPeerListName</t>
  </si>
  <si>
    <t>List of UPF</t>
  </si>
  <si>
    <t>IpPoolName</t>
  </si>
  <si>
    <t>ipv4Prefix</t>
  </si>
  <si>
    <t>ipv6Prefix</t>
  </si>
  <si>
    <t>APNNetworkRealmName</t>
  </si>
  <si>
    <t>www-pool2</t>
  </si>
  <si>
    <t>GxEnabled</t>
  </si>
  <si>
    <t>GxPrimPeerName</t>
  </si>
  <si>
    <t>GxSecPeerName</t>
  </si>
  <si>
    <t>CPF</t>
  </si>
  <si>
    <t>List of CPF</t>
  </si>
  <si>
    <t>PeerListName</t>
  </si>
  <si>
    <t xml:space="preserve">aa-admit-deny </t>
  </si>
  <si>
    <t>aa-performance</t>
  </si>
  <si>
    <t xml:space="preserve">aa-app-group </t>
  </si>
  <si>
    <t xml:space="preserve">aa-application </t>
  </si>
  <si>
    <t xml:space="preserve">aa-partition </t>
  </si>
  <si>
    <t>aa-protocol</t>
  </si>
  <si>
    <t>Security Log</t>
  </si>
  <si>
    <t>Log for CLI Change Events</t>
  </si>
  <si>
    <t>Debug Log</t>
  </si>
  <si>
    <t>ToMemory</t>
  </si>
  <si>
    <t>File to Store Security Events</t>
  </si>
  <si>
    <t>cf2</t>
  </si>
  <si>
    <t>File to Store CLI Change Events</t>
  </si>
  <si>
    <t>File To Store all main change security events</t>
  </si>
  <si>
    <t>DefaultConsoleMember</t>
  </si>
  <si>
    <t>nsp</t>
  </si>
  <si>
    <t>testuser</t>
  </si>
  <si>
    <t>ID</t>
  </si>
  <si>
    <t>LogDescription</t>
  </si>
  <si>
    <t>KPIDescription</t>
  </si>
  <si>
    <t>KPIFileID</t>
  </si>
  <si>
    <t>KPIFileDescription</t>
  </si>
  <si>
    <t>KPIFileLocation</t>
  </si>
  <si>
    <t>KPIFileRollover</t>
  </si>
  <si>
    <t>KPIFileRetention</t>
  </si>
  <si>
    <t>DiaPeerip</t>
  </si>
  <si>
    <t>DiaPort</t>
  </si>
  <si>
    <t>RadPeerIP</t>
  </si>
  <si>
    <t>GaPriority</t>
  </si>
  <si>
    <t>APN</t>
  </si>
  <si>
    <t>Mda4Type</t>
  </si>
  <si>
    <t>Primarylocation</t>
  </si>
  <si>
    <t>EnableGtpv2</t>
  </si>
  <si>
    <t>EpcNodeID</t>
  </si>
  <si>
    <t>DiaOriginHost</t>
  </si>
  <si>
    <t>DiaOriginRealm</t>
  </si>
  <si>
    <t>ApplicationType</t>
  </si>
  <si>
    <t>Vprn</t>
  </si>
  <si>
    <t>RadMultiplePeer</t>
  </si>
  <si>
    <t>RadPriority</t>
  </si>
  <si>
    <t>RadPasswordSecret</t>
  </si>
  <si>
    <t>ChargingNode</t>
  </si>
  <si>
    <t>ChargingDescription</t>
  </si>
  <si>
    <t>Server Details</t>
  </si>
  <si>
    <t>GaMultiplePeer</t>
  </si>
  <si>
    <t>PfcpPeerListDesc</t>
  </si>
  <si>
    <t>PeerListDesc</t>
  </si>
  <si>
    <t>MultiPools</t>
  </si>
  <si>
    <t>MultiAPNs</t>
  </si>
  <si>
    <t>VirtualAPN</t>
  </si>
  <si>
    <t>VirtualAPNName</t>
  </si>
  <si>
    <t>GiIPPoolName</t>
  </si>
  <si>
    <t>0-4096</t>
  </si>
  <si>
    <t>Loopback(X)</t>
  </si>
  <si>
    <t>Physical(X)</t>
  </si>
  <si>
    <t>&lt;value&gt;</t>
  </si>
  <si>
    <t>PortDescription</t>
  </si>
  <si>
    <t>PortMode</t>
  </si>
  <si>
    <t>PortEncapType</t>
  </si>
  <si>
    <t>PortMtu</t>
  </si>
  <si>
    <t>hybrid</t>
  </si>
  <si>
    <t>dot1q</t>
  </si>
  <si>
    <t>RefLoopbackInterface</t>
  </si>
  <si>
    <t>LBVPRN</t>
  </si>
  <si>
    <t>RefPointName</t>
  </si>
  <si>
    <t>gn</t>
  </si>
  <si>
    <t>gp</t>
  </si>
  <si>
    <t>s5</t>
  </si>
  <si>
    <t>s8</t>
  </si>
  <si>
    <t>s11</t>
  </si>
  <si>
    <t>s1-u</t>
  </si>
  <si>
    <t>CPF_s4-s11-Loopback</t>
  </si>
  <si>
    <t>CPF_SGW-S5-S8_Gn_Gp-Loopback</t>
  </si>
  <si>
    <t>CPF_PGW-Gn-Gp-S5-S8-Loopback</t>
  </si>
  <si>
    <t>CPF_Sx-Loopback</t>
  </si>
  <si>
    <t>UPF_S1u-LB-Loopback</t>
  </si>
  <si>
    <t>UPF_Sx-Loopback</t>
  </si>
  <si>
    <t>UPF_S4-S11-Loopback</t>
  </si>
  <si>
    <t>UPF_SGW-S5-S8-Loopback</t>
  </si>
  <si>
    <t>UPF_PGW-Gn-Gp-S5-S8-Loopback</t>
  </si>
  <si>
    <t>InterfaceRealm</t>
  </si>
  <si>
    <t>PGWGnrealm</t>
  </si>
  <si>
    <t>SGWs5realm</t>
  </si>
  <si>
    <t>SGWs8realm</t>
  </si>
  <si>
    <t>PGWGprealm</t>
  </si>
  <si>
    <t>s1urealm</t>
  </si>
  <si>
    <t>s4</t>
  </si>
  <si>
    <t>s4realm</t>
  </si>
  <si>
    <t>sx</t>
  </si>
  <si>
    <t>ga</t>
  </si>
  <si>
    <t>PGW-default</t>
  </si>
  <si>
    <t>PGWs5realm</t>
  </si>
  <si>
    <t>PGWs8realm</t>
  </si>
  <si>
    <t>s12</t>
  </si>
  <si>
    <t>NodeType</t>
  </si>
  <si>
    <t>SPGW</t>
  </si>
  <si>
    <t>SessionTimeout</t>
  </si>
  <si>
    <t>RadiusAvpOptions</t>
  </si>
  <si>
    <t>CdrAvpOptions</t>
  </si>
  <si>
    <t>access</t>
  </si>
  <si>
    <t>OutsideVPRN</t>
  </si>
  <si>
    <t>InsideVPRN</t>
  </si>
  <si>
    <t>NatPolicyName</t>
  </si>
  <si>
    <t>OutsideIpPoolName</t>
  </si>
  <si>
    <t>MGgrp1-Public-Pool</t>
  </si>
  <si>
    <t>MGgrp1-nat</t>
  </si>
  <si>
    <t>AddressRangeStart</t>
  </si>
  <si>
    <t>AddressRangeEnd</t>
  </si>
  <si>
    <t>Outside Public Pool</t>
  </si>
  <si>
    <t>Inside Private Pool</t>
  </si>
  <si>
    <t>NatGroup</t>
  </si>
  <si>
    <t>MgGroup</t>
  </si>
  <si>
    <t>MGgroup</t>
  </si>
  <si>
    <t>SPGW,CPF,UPF</t>
  </si>
  <si>
    <t>Radius peer info</t>
  </si>
  <si>
    <t>control</t>
  </si>
  <si>
    <t>user</t>
  </si>
  <si>
    <t>InstanceType</t>
  </si>
  <si>
    <t>7/3/1</t>
  </si>
  <si>
    <t>7/3/2</t>
  </si>
  <si>
    <t>8/3/1</t>
  </si>
  <si>
    <t>8/3/2</t>
  </si>
  <si>
    <t>9/3/1</t>
  </si>
  <si>
    <t>9/3/2</t>
  </si>
  <si>
    <t>10/3/1</t>
  </si>
  <si>
    <t>10/3/2</t>
  </si>
  <si>
    <t>Log File Details</t>
  </si>
  <si>
    <t>Syslog Details</t>
  </si>
  <si>
    <t>KPI File Details</t>
  </si>
  <si>
    <t>SigRateLimitProfile</t>
  </si>
  <si>
    <t>MaxMessageRate</t>
  </si>
  <si>
    <t>DelayTolerance</t>
  </si>
  <si>
    <t>DCCA Details</t>
  </si>
  <si>
    <t>Signalling Rate Limit Details</t>
  </si>
  <si>
    <t>VIL</t>
  </si>
  <si>
    <t>LB1-Port1</t>
  </si>
  <si>
    <t>LB1-Port2</t>
  </si>
  <si>
    <t>LB2-Port1</t>
  </si>
  <si>
    <t>LB2-Port2</t>
  </si>
  <si>
    <t>www-pool3</t>
  </si>
  <si>
    <t>www-pool4</t>
  </si>
  <si>
    <t>2402:3a80:1fff:19::2/64</t>
  </si>
  <si>
    <t>2402:3a80:1fff:19::1/64</t>
  </si>
  <si>
    <t>2402:3a80:1fff:1a::2/64</t>
  </si>
  <si>
    <t>2402:3a80:1fff:1a::1/64</t>
  </si>
  <si>
    <t>2402:3a80:1fff:1b::2/64</t>
  </si>
  <si>
    <t>2402:3a80:1fff:1b::1/64</t>
  </si>
  <si>
    <t>2402:3a80:1fff:1c::2/64</t>
  </si>
  <si>
    <t>2402:3a80:1fff:1c::1/64</t>
  </si>
  <si>
    <t>2402:3a80:1fff:19::3/64</t>
  </si>
  <si>
    <t>2402:3a80:1fff:1a::3/64</t>
  </si>
  <si>
    <t>2402:3a80:1fff:1b::3/64</t>
  </si>
  <si>
    <t>2402:3a80:1fff:1c::3/64</t>
  </si>
  <si>
    <t>2402:3a80:1fff:9::4d/128</t>
  </si>
  <si>
    <t>2402:3a80:1fff:9::4f/128</t>
  </si>
  <si>
    <t>2402:3a80:1fff:a::2/64</t>
  </si>
  <si>
    <t>2402:3a80:1fff:a::1/64</t>
  </si>
  <si>
    <t>2402:3a80:1fff:b::2/64</t>
  </si>
  <si>
    <t>2402:3a80:1fff:b::1/64</t>
  </si>
  <si>
    <t>2402:3a80:1fff:c::2/64</t>
  </si>
  <si>
    <t>2402:3a80:1fff:c::1/64</t>
  </si>
  <si>
    <t>2402:3a80:1fff:d::2/64</t>
  </si>
  <si>
    <t>2402:3a80:1fff:d::1/64</t>
  </si>
  <si>
    <t>2402:3a80:1fff:19::4/64</t>
  </si>
  <si>
    <t>2402:3a80:1fff:1a::4/64</t>
  </si>
  <si>
    <t>2402:3a80:1fff:1b::4/64</t>
  </si>
  <si>
    <t>2402:3a80:1fff:1c::4/64</t>
  </si>
  <si>
    <t>2402:3a80:1fff:9::51/128</t>
  </si>
  <si>
    <t>2402:3a80:1fff:9::53/128</t>
  </si>
  <si>
    <t>2402:3a80:1fff:9::27/128</t>
  </si>
  <si>
    <t>2402:3a80:1fff:9::29/128</t>
  </si>
  <si>
    <t>2402:3a80:1fff:a::4/64</t>
  </si>
  <si>
    <t>2402:3a80:1fff:b::4/64</t>
  </si>
  <si>
    <t>2402:3a80:1fff:c::4/64</t>
  </si>
  <si>
    <t>2402:3a80:1fff:d::4/64</t>
  </si>
  <si>
    <t>2402:3a80:1fff:9::2b/128</t>
  </si>
  <si>
    <t>2402:3a80:1fff:9::2d/128</t>
  </si>
  <si>
    <t>2402:3a80:1fff:19::5/64</t>
  </si>
  <si>
    <t>2402:3a80:1fff:1a::5/64</t>
  </si>
  <si>
    <t>2402:3a80:1fff:1b::5/64</t>
  </si>
  <si>
    <t>2402:3a80:1fff:1c::5/64</t>
  </si>
  <si>
    <t>2402:3a80:1fff:9::55/128</t>
  </si>
  <si>
    <t>2402:3a80:1fff:9::57/128</t>
  </si>
  <si>
    <t>2402:3a80:1fff:9::30/128</t>
  </si>
  <si>
    <t>2402:3a80:1fff:9::32/128</t>
  </si>
  <si>
    <t>2402:3a80:1fff:a::5/64</t>
  </si>
  <si>
    <t>2402:3a80:1fff:b::5/64</t>
  </si>
  <si>
    <t>2402:3a80:1fff:c::5/64</t>
  </si>
  <si>
    <t>2402:3a80:1fff:d::5/64</t>
  </si>
  <si>
    <t>2402:3a80:1fff:a::6/64</t>
  </si>
  <si>
    <t>2402:3a80:1fff:b::6/64</t>
  </si>
  <si>
    <t>2402:3a80:1fff:c::6/64</t>
  </si>
  <si>
    <t>2402:3a80:1fff:d::6/64</t>
  </si>
  <si>
    <t>2402:3a80:1fff:9::34/128</t>
  </si>
  <si>
    <t>2402:3a80:1fff:9::36/128</t>
  </si>
  <si>
    <t>2402:3a80:1fff:9::59/128</t>
  </si>
  <si>
    <t>2402:3a80:1fff:9::5b/128</t>
  </si>
  <si>
    <t>2402:3a80:1fff:19::6/64</t>
  </si>
  <si>
    <t>2402:3a80:1fff:1a::6/64</t>
  </si>
  <si>
    <t>2402:3a80:1fff:1b::6/64</t>
  </si>
  <si>
    <t>2402:3a80:1fff:1c::6/64</t>
  </si>
  <si>
    <t>2402:3a80:1fff:a::3/64</t>
  </si>
  <si>
    <t>2402:3a80:1fff:b::3/64</t>
  </si>
  <si>
    <t>2402:3a80:1fff:c::3/64</t>
  </si>
  <si>
    <t>2402:3a80:1fff:d::3/64</t>
  </si>
  <si>
    <t>MGgrp2-Public-Pool</t>
  </si>
  <si>
    <t>MGgrp2-nat</t>
  </si>
  <si>
    <t>MGgrp3-Public-Pool</t>
  </si>
  <si>
    <t>MGgrp4-Public-Pool</t>
  </si>
  <si>
    <t>2402:3a80:1fff:5::2/64</t>
  </si>
  <si>
    <t>2402:3a80:1fff:5::1/64</t>
  </si>
  <si>
    <t>2402:3a80:1fff:6::2/64</t>
  </si>
  <si>
    <t>2402:3a80:1fff:6::1/64</t>
  </si>
  <si>
    <t>2402:3a80:1fff:7::2/64</t>
  </si>
  <si>
    <t>2402:3a80:1fff:7::1/64</t>
  </si>
  <si>
    <t>2402:3a80:1fff:8::2/64</t>
  </si>
  <si>
    <t>2402:3a80:1fff:8::1/64</t>
  </si>
  <si>
    <t>Physical5</t>
  </si>
  <si>
    <t>2402:3a80:1fff:5::3/64</t>
  </si>
  <si>
    <t>2402:3a80:1fff:6::3/64</t>
  </si>
  <si>
    <t>2402:3a80:1fff:7::3/64</t>
  </si>
  <si>
    <t>2402:3a80:1fff:8::3/64</t>
  </si>
  <si>
    <t>2402:3a80:1fff:9::1/128</t>
  </si>
  <si>
    <t>2402:3a80:1fff:9::3/128</t>
  </si>
  <si>
    <t>UP-IMS-LB1-Port1</t>
  </si>
  <si>
    <t>UP-IMS-LB1-Port2</t>
  </si>
  <si>
    <t>UP-IMS-LB2-Port1</t>
  </si>
  <si>
    <t>UP-IMS-LB2-Port2</t>
  </si>
  <si>
    <t>Non-NAT-IPv6-MG3-PORT-1</t>
  </si>
  <si>
    <t>Non-NAT-IPv6-MG3-PORT-2</t>
  </si>
  <si>
    <t>Non-NAT-IPv6-MG4-PORT-1</t>
  </si>
  <si>
    <t>Non-NAT-IPv6-MG4-PORT-2</t>
  </si>
  <si>
    <t>NAT-IPv6-MG-GRP-1-lo1</t>
  </si>
  <si>
    <t>NAT-IPv6-MG-GRP-1-lo2</t>
  </si>
  <si>
    <t>NAT_1300_INSIDE VPRN</t>
  </si>
  <si>
    <t>TO-NAT-Redirect-MG3-PORT-1</t>
  </si>
  <si>
    <t>TO-NAT-Redirect-MG3-PORT-2</t>
  </si>
  <si>
    <t>TO-NAT-Redirect-MG4-PORT-1</t>
  </si>
  <si>
    <t>TO-NAT-Redirect-MG4-PORT-2</t>
  </si>
  <si>
    <t>2402:3a80:1fff:10::6/126</t>
  </si>
  <si>
    <t>2402:3a80:1fff:10::5/126</t>
  </si>
  <si>
    <t>2402:3a80:1fff:11::6/126</t>
  </si>
  <si>
    <t>2402:3a80:1fff:11::5/126</t>
  </si>
  <si>
    <t>2402:3a80:1fff:12::6/126</t>
  </si>
  <si>
    <t>2402:3a80:1fff:12::5/126</t>
  </si>
  <si>
    <t>2402:3a80:1fff:13::6/126</t>
  </si>
  <si>
    <t>2402:3a80:1fff:13::5/126</t>
  </si>
  <si>
    <t>MGgrp3-nat</t>
  </si>
  <si>
    <t>MGgrp4-nat</t>
  </si>
  <si>
    <t>IpfixSourceAdd</t>
  </si>
  <si>
    <t>IpfixCollectorAdd</t>
  </si>
  <si>
    <t>VF-CGNAT-Collector</t>
  </si>
  <si>
    <t>IpfixDescription</t>
  </si>
  <si>
    <t>For CGNAT Logger</t>
  </si>
  <si>
    <t>ipfixExportPolicyName</t>
  </si>
  <si>
    <t>IpfixCollectorName</t>
  </si>
  <si>
    <t>MGgrp1-nat-SDP</t>
  </si>
  <si>
    <t>MGgrp2-nat-SDP</t>
  </si>
  <si>
    <t>MGgrp3-nat-SDP</t>
  </si>
  <si>
    <t>MGgrp4-nat-SDP</t>
  </si>
  <si>
    <t>MGgrp1-Public-Pool-SDP</t>
  </si>
  <si>
    <t>MGgrp2-Public-Pool-SDP</t>
  </si>
  <si>
    <t>MGgrp3-Public-Pool-SDP</t>
  </si>
  <si>
    <t>MGgrp4-Public-Pool-SDP</t>
  </si>
  <si>
    <t>PortReservation</t>
  </si>
  <si>
    <t>MultipPool</t>
  </si>
  <si>
    <t>SubscriberLimit</t>
  </si>
  <si>
    <t>BlockLimit</t>
  </si>
  <si>
    <t>NAT_1400_INSIDE VPRN</t>
  </si>
  <si>
    <t>IPv6-1401-MG3-to-WBX-1</t>
  </si>
  <si>
    <t>IPv6-1401-MG3-to-WBX-2</t>
  </si>
  <si>
    <t>IPv6-1401-MG4-to-WBX-1</t>
  </si>
  <si>
    <t>IPv6-1401-MG4-to-WBX-2</t>
  </si>
  <si>
    <t>2402:3a80:1fff:14::6/126</t>
  </si>
  <si>
    <t>2402:3a80:1fff:14::5/126</t>
  </si>
  <si>
    <t>2402:3a80:1fff:15::6/126</t>
  </si>
  <si>
    <t>2402:3a80:1fff:15::5/126</t>
  </si>
  <si>
    <t>2402:3a80:1fff:16::6/126</t>
  </si>
  <si>
    <t>2402:3a80:1fff:16::5/126</t>
  </si>
  <si>
    <t>2402:3a80:1fff:17::6/126</t>
  </si>
  <si>
    <t>2402:3a80:1fff:17::5/126</t>
  </si>
  <si>
    <t>StaticRouteEntry</t>
  </si>
  <si>
    <t>IPv6StaticRouteEntry</t>
  </si>
  <si>
    <t>0.0.0.0/0</t>
  </si>
  <si>
    <t>::/0</t>
  </si>
  <si>
    <t>IPfilter</t>
  </si>
  <si>
    <t>RedirectVPRN</t>
  </si>
  <si>
    <t>Redirect VPRN</t>
  </si>
  <si>
    <t>SyenthesizedIPSDP1</t>
  </si>
  <si>
    <t>SyenthesizedIPSDP2</t>
  </si>
  <si>
    <t>SyenthesizedIPNAT</t>
  </si>
  <si>
    <t>UP-CORE-MG3-PORT-1</t>
  </si>
  <si>
    <t>UP-CORE-MG3-PORT-2</t>
  </si>
  <si>
    <t>UP-CORE-MG4-PORT-1</t>
  </si>
  <si>
    <t>UP-CORE-MG4-PORT-2</t>
  </si>
  <si>
    <t>UP-CORE-MG-GRP-1-lo1</t>
  </si>
  <si>
    <t>UP-CORE-MG-GRP-1-lo2</t>
  </si>
  <si>
    <t>UP-INTERNET-MG3-PORT-1</t>
  </si>
  <si>
    <t>UP-INTERNET-MG3-PORT-2</t>
  </si>
  <si>
    <t>UP-INTERNET-MG4-PORT-1</t>
  </si>
  <si>
    <t>UP-INTERNET-MG4-PORT-2</t>
  </si>
  <si>
    <t>UP-INTERNET-MG-GRP-1-lo1</t>
  </si>
  <si>
    <t>UP-INTERNET-MG-GRP-1-lo2</t>
  </si>
  <si>
    <t>Non-NAT-IPv6-MG5-PORT-1</t>
  </si>
  <si>
    <t>Non-NAT-IPv6-MG5-PORT-2</t>
  </si>
  <si>
    <t>Non-NAT-IPv6-MG6-PORT-1</t>
  </si>
  <si>
    <t>Non-NAT-IPv6-MG6-PORT-2</t>
  </si>
  <si>
    <t>2402:3a80:1fff:5::4/64</t>
  </si>
  <si>
    <t>2402:3a80:1fff:6::4/64</t>
  </si>
  <si>
    <t>2402:3a80:1fff:7::4/64</t>
  </si>
  <si>
    <t>2402:3a80:1fff:8::4/64</t>
  </si>
  <si>
    <t>TO-NAT-Redirect-MG5-PORT-1</t>
  </si>
  <si>
    <t>TO-NAT-Redirect-MG5-PORT-2</t>
  </si>
  <si>
    <t>TO-NAT-Redirect-MG6-PORT-1</t>
  </si>
  <si>
    <t>TO-NAT-Redirect-MG6-PORT-2</t>
  </si>
  <si>
    <t>2402:3a80:1fff:10::a/126</t>
  </si>
  <si>
    <t>2402:3a80:1fff:10::9/126</t>
  </si>
  <si>
    <t>2402:3a80:1fff:11::a/126</t>
  </si>
  <si>
    <t>2402:3a80:1fff:11::9/126</t>
  </si>
  <si>
    <t>2402:3a80:1fff:12::a/126</t>
  </si>
  <si>
    <t>2402:3a80:1fff:12::9/126</t>
  </si>
  <si>
    <t>2402:3a80:1fff:13::a/126</t>
  </si>
  <si>
    <t>2402:3a80:1fff:13::9/126</t>
  </si>
  <si>
    <t>NAT-IPv6-MG-GRP-2-lo1</t>
  </si>
  <si>
    <t>NAT-IPv6-MG-GRP-2-lo2</t>
  </si>
  <si>
    <t>2402:3a80:1fff:9::5/128</t>
  </si>
  <si>
    <t>2402:3a80:1fff:9::7/128</t>
  </si>
  <si>
    <t>IPv6-1402-MG5-to-WBX-1</t>
  </si>
  <si>
    <t>IPv6-1402-MG5-to-WBX-2</t>
  </si>
  <si>
    <t>IPv6-1402-MG6-to-WBX-1</t>
  </si>
  <si>
    <t>IPv6-1402-MG6-to-WBX-2</t>
  </si>
  <si>
    <t>2402:3a80:1fff:14::a/126</t>
  </si>
  <si>
    <t>2402:3a80:1fff:14::9/126</t>
  </si>
  <si>
    <t>2402:3a80:1fff:15::a/126</t>
  </si>
  <si>
    <t>2402:3a80:1fff:15::9/126</t>
  </si>
  <si>
    <t>2402:3a80:1fff:16::a/126</t>
  </si>
  <si>
    <t>2402:3a80:1fff:16::9/126</t>
  </si>
  <si>
    <t>2402:3a80:1fff:17::a/126</t>
  </si>
  <si>
    <t>2402:3a80:1fff:17::9/126</t>
  </si>
  <si>
    <t>Non-NAT-IPv6-MG7-PORT-1</t>
  </si>
  <si>
    <t>Non-NAT-IPv6-MG7-PORT-2</t>
  </si>
  <si>
    <t>Non-NAT-IPv6-MG8-PORT-1</t>
  </si>
  <si>
    <t>Non-NAT-IPv6-MG8-PORT-2</t>
  </si>
  <si>
    <t>2402:3a80:1fff:5::5/64</t>
  </si>
  <si>
    <t>2402:3a80:1fff:6::5/64</t>
  </si>
  <si>
    <t>2402:3a80:1fff:7::5/64</t>
  </si>
  <si>
    <t>2402:3a80:1fff:8::5/64</t>
  </si>
  <si>
    <t>TO-NAT-Redirect-MG7-PORT-1</t>
  </si>
  <si>
    <t>TO-NAT-Redirect-MG7-PORT-2</t>
  </si>
  <si>
    <t>TO-NAT-Redirect-MG8-PORT-1</t>
  </si>
  <si>
    <t>TO-NAT-Redirect-MG8-PORT-2</t>
  </si>
  <si>
    <t>2402:3a80:1fff:10::e/126</t>
  </si>
  <si>
    <t>2402:3a80:1fff:10::d/126</t>
  </si>
  <si>
    <t>2402:3a80:1fff:11::e/126</t>
  </si>
  <si>
    <t>2402:3a80:1fff:11::d/126</t>
  </si>
  <si>
    <t>2402:3a80:1fff:12::e/126</t>
  </si>
  <si>
    <t>2402:3a80:1fff:12::d/126</t>
  </si>
  <si>
    <t>2402:3a80:1fff:13::e/126</t>
  </si>
  <si>
    <t>2402:3a80:1fff:13::d/126</t>
  </si>
  <si>
    <t>NAT-IPv6-MG-GRP-3-lo1</t>
  </si>
  <si>
    <t>NAT-IPv6-MG-GRP-3-lo2</t>
  </si>
  <si>
    <t>2402:3a80:1fff:9::9/128</t>
  </si>
  <si>
    <t>2402:3a80:1fff:9::b/128</t>
  </si>
  <si>
    <t>IPv6-1403-MG7-to-WBX-1</t>
  </si>
  <si>
    <t>IPv6-1403-MG7-to-WBX-2</t>
  </si>
  <si>
    <t>IPv6-1403-MG8-to-WBX-1</t>
  </si>
  <si>
    <t>IPv6-1403-MG8-to-WBX-2</t>
  </si>
  <si>
    <t>2402:3a80:1fff:14::e/126</t>
  </si>
  <si>
    <t>2402:3a80:1fff:14::d/126</t>
  </si>
  <si>
    <t>2402:3a80:1fff:15::e/126</t>
  </si>
  <si>
    <t>2402:3a80:1fff:15::d/126</t>
  </si>
  <si>
    <t>2402:3a80:1fff:16::e/126</t>
  </si>
  <si>
    <t>2402:3a80:1fff:16::d/126</t>
  </si>
  <si>
    <t>2402:3a80:1fff:17::e/126</t>
  </si>
  <si>
    <t>2402:3a80:1fff:17::d/126</t>
  </si>
  <si>
    <t>IPv6-1404-MG9-to-WBX-1</t>
  </si>
  <si>
    <t>IPv6-1404-MG9-to-WBX-2</t>
  </si>
  <si>
    <t>IPv6-1404-MG10-to-WBX-1</t>
  </si>
  <si>
    <t>IPv6-1404-MG10-to-WBX-2</t>
  </si>
  <si>
    <t>TO-NAT-Redirect-MG9-PORT-1</t>
  </si>
  <si>
    <t>TO-NAT-Redirect-MG9-PORT-2</t>
  </si>
  <si>
    <t>TO-NAT-Redirect-MG10-PORT-1</t>
  </si>
  <si>
    <t>TO-NAT-Redirect-MG10-PORT-2</t>
  </si>
  <si>
    <t>2402:3a80:1fff:10::12/126</t>
  </si>
  <si>
    <t>2402:3a80:1fff:10::11/126</t>
  </si>
  <si>
    <t>2402:3a80:1fff:11::12/126</t>
  </si>
  <si>
    <t>2402:3a80:1fff:11::11/126</t>
  </si>
  <si>
    <t>2402:3a80:1fff:12::12/126</t>
  </si>
  <si>
    <t>2402:3a80:1fff:12::11/126</t>
  </si>
  <si>
    <t>2402:3a80:1fff:13::12/126</t>
  </si>
  <si>
    <t>2402:3a80:1fff:13::11/126</t>
  </si>
  <si>
    <t>2402:3a80:1fff:14::12/126</t>
  </si>
  <si>
    <t>2402:3a80:1fff:14::11/126</t>
  </si>
  <si>
    <t>2402:3a80:1fff:15::12/126</t>
  </si>
  <si>
    <t>2402:3a80:1fff:15::11/126</t>
  </si>
  <si>
    <t>2402:3a80:1fff:16::12/126</t>
  </si>
  <si>
    <t>2402:3a80:1fff:16::11/126</t>
  </si>
  <si>
    <t>2402:3a80:1fff:17::12/126</t>
  </si>
  <si>
    <t>2402:3a80:1fff:17::11/126</t>
  </si>
  <si>
    <t>NAT-IPv6-MG-GRP-4-lo1</t>
  </si>
  <si>
    <t>NAT-IPv6-MG-GRP-4-lo2</t>
  </si>
  <si>
    <t>2402:3a80:1fff:9::d/128</t>
  </si>
  <si>
    <t>2402:3a80:1fff:9::10/128</t>
  </si>
  <si>
    <t>Non-NAT-IPv6-MG9-PORT-1</t>
  </si>
  <si>
    <t>Non-NAT-IPv6-MG9-PORT-2</t>
  </si>
  <si>
    <t>Non-NAT-IPv6-MG10-PORT-1</t>
  </si>
  <si>
    <t>Non-NAT-IPv6-MG10-PORT-2</t>
  </si>
  <si>
    <t>2402:3a80:1fff:5::6/64</t>
  </si>
  <si>
    <t>2402:3a80:1fff:6::6/64</t>
  </si>
  <si>
    <t>2402:3a80:1fff:7::6/64</t>
  </si>
  <si>
    <t>2402:3a80:1fff:8::6/64</t>
  </si>
  <si>
    <t>UP-IMS-MG3-PORT-1</t>
  </si>
  <si>
    <t>UP-IMS-MG3-PORT-2</t>
  </si>
  <si>
    <t>UP-IMS-MG4-PORT-1</t>
  </si>
  <si>
    <t>UP-IMS-MG4-PORT-2</t>
  </si>
  <si>
    <t>UP-IMS-MG-GRP-1-lo1</t>
  </si>
  <si>
    <t>UP-IMS-MG-GRP-1-lo2</t>
  </si>
  <si>
    <t>UP-IMS-MG5-PORT-1</t>
  </si>
  <si>
    <t>UP-IMS-MG5-PORT-2</t>
  </si>
  <si>
    <t>UP-IMS-MG6-PORT-1</t>
  </si>
  <si>
    <t>UP-IMS-MG6-PORT-2</t>
  </si>
  <si>
    <t>UP-IMS-MG-GRP-2-lo1</t>
  </si>
  <si>
    <t>UP-IMS-MG-GRP-2-lo2</t>
  </si>
  <si>
    <t>UP-IMS-MG9-PORT-1</t>
  </si>
  <si>
    <t>UP-IMS-MG9-PORT-2</t>
  </si>
  <si>
    <t>UP-IMS-MG10-PORT-1</t>
  </si>
  <si>
    <t>UP-IMS-MG10-PORT-2</t>
  </si>
  <si>
    <t>UP-IMS-MG-GRP-4-lo1</t>
  </si>
  <si>
    <t>UP-IMS-MG-GRP-4-lo2</t>
  </si>
  <si>
    <t>UP-IMS-MG7-PORT-1</t>
  </si>
  <si>
    <t>UP-IMS-MG7-PORT-2</t>
  </si>
  <si>
    <t>UP-IMS-MG8-PORT-1</t>
  </si>
  <si>
    <t>UP-IMS-MG8-PORT-2</t>
  </si>
  <si>
    <t>UP-IMS-MG-GRP-3-lo1</t>
  </si>
  <si>
    <t>UP-IMS-MG-GRP-3-lo2</t>
  </si>
  <si>
    <t>UP-INTERNET-MG7-PORT-1</t>
  </si>
  <si>
    <t>UP-INTERNET-MG7-PORT-2</t>
  </si>
  <si>
    <t>UP-INTERNET-MG8-PORT-1</t>
  </si>
  <si>
    <t>UP-INTERNET-MG8-PORT-2</t>
  </si>
  <si>
    <t>UP-INTERNET-MG-GRP-3-lo1</t>
  </si>
  <si>
    <t>UP-INTERNET-MG-GRP-3-lo2</t>
  </si>
  <si>
    <t>MGsVPRN</t>
  </si>
  <si>
    <t>MGsRefPointName</t>
  </si>
  <si>
    <t>MGsRefLoopbackInterface</t>
  </si>
  <si>
    <t>ReferanceProfile</t>
  </si>
  <si>
    <t>gtp-profile</t>
  </si>
  <si>
    <t>s1u-profile</t>
  </si>
  <si>
    <t>cpf-pfcp-profile</t>
  </si>
  <si>
    <t>gx-profile</t>
  </si>
  <si>
    <t>Static Routing</t>
  </si>
  <si>
    <t>BGP Routing</t>
  </si>
  <si>
    <t>2402:3a80:1fff:18::21/126</t>
  </si>
  <si>
    <t>2402:3a80:1fff:18::22/126</t>
  </si>
  <si>
    <t>2402:3a80:1fff:18::25/126</t>
  </si>
  <si>
    <t>2402:3a80:1fff:18::26/126</t>
  </si>
  <si>
    <t>2402:3a80:1fff:18::29/126</t>
  </si>
  <si>
    <t>2402:3a80:1fff:18::2a/126</t>
  </si>
  <si>
    <t>2402:3a80:1fff:18::2d/126</t>
  </si>
  <si>
    <t>2402:3a80:1fff:18::2e/126</t>
  </si>
  <si>
    <t>2402:3a80:1fff:18::31/126</t>
  </si>
  <si>
    <t>2402:3a80:1fff:18::32/126</t>
  </si>
  <si>
    <t>2402:3a80:1fff:18::35/126</t>
  </si>
  <si>
    <t>2402:3a80:1fff:18::36/126</t>
  </si>
  <si>
    <t>2402:3a80:1fff:18::39/126</t>
  </si>
  <si>
    <t>2402:3a80:1fff:18::3a/126</t>
  </si>
  <si>
    <t>2402:3a80:1fff:18::3d/126</t>
  </si>
  <si>
    <t>2402:3a80:1fff:18::3e/126</t>
  </si>
  <si>
    <t>2402:3a80:1fff:18::41/126</t>
  </si>
  <si>
    <t>2402:3a80:1fff:18::42/126</t>
  </si>
  <si>
    <t>2402:3a80:1fff:18::45/126</t>
  </si>
  <si>
    <t>2402:3a80:1fff:18::46/126</t>
  </si>
  <si>
    <t>2402:3a80:1fff:18::49/126</t>
  </si>
  <si>
    <t>2402:3a80:1fff:18::4a/126</t>
  </si>
  <si>
    <t>2402:3a80:1fff:18::4d/126</t>
  </si>
  <si>
    <t>2402:3a80:1fff:18::4e/126</t>
  </si>
  <si>
    <t>2402:3a80:1fff:18::51/126</t>
  </si>
  <si>
    <t>2402:3a80:1fff:18::52/126</t>
  </si>
  <si>
    <t>2402:3a80:1fff:18::55/126</t>
  </si>
  <si>
    <t>2402:3a80:1fff:18::56/126</t>
  </si>
  <si>
    <t>2402:3a80:1fff:18::59/126</t>
  </si>
  <si>
    <t>2402:3a80:1fff:18::5a/126</t>
  </si>
  <si>
    <t>2402:3a80:1fff:18::5d/126</t>
  </si>
  <si>
    <t>2402:3a80:1fff:18::5e/126</t>
  </si>
  <si>
    <t>2402:3a80:1fff:18::61/126</t>
  </si>
  <si>
    <t>2402:3a80:1fff:18::62/126</t>
  </si>
  <si>
    <t>2402:3a80:1fff:18::65/126</t>
  </si>
  <si>
    <t>2402:3a80:1fff:18::66/126</t>
  </si>
  <si>
    <t>2402:3a80:1fff:18::69/126</t>
  </si>
  <si>
    <t>2402:3a80:1fff:18::6a/126</t>
  </si>
  <si>
    <t>2402:3a80:1fff:18::6d/126</t>
  </si>
  <si>
    <t>2402:3a80:1fff:18::6e/126</t>
  </si>
  <si>
    <t>PfcpTranslateProfile</t>
  </si>
  <si>
    <t>Gx-Sig-profile</t>
  </si>
  <si>
    <t>Lag</t>
  </si>
  <si>
    <t>2:1</t>
  </si>
  <si>
    <t>1:1</t>
  </si>
  <si>
    <t>1:2</t>
  </si>
  <si>
    <t>1:3</t>
  </si>
  <si>
    <t>1:4</t>
  </si>
  <si>
    <t>1:5</t>
  </si>
  <si>
    <t>1:6</t>
  </si>
  <si>
    <t>1:7</t>
  </si>
  <si>
    <t>1:8</t>
  </si>
  <si>
    <t>UP-CORE-MG13-PORT-1</t>
  </si>
  <si>
    <t>UP-CORE-MG13-PORT-2</t>
  </si>
  <si>
    <t>UP-CORE-MG14-PORT-1</t>
  </si>
  <si>
    <t>UP-CORE-MG14-PORT-2</t>
  </si>
  <si>
    <t>UP-CORE-MG15-PORT-1</t>
  </si>
  <si>
    <t>UP-CORE-MG15-PORT-2</t>
  </si>
  <si>
    <t>UP-CORE-MG16-PORT-1</t>
  </si>
  <si>
    <t>UP-CORE-MG16-PORT-2</t>
  </si>
  <si>
    <t>UP-CORE-MG17-PORT-1</t>
  </si>
  <si>
    <t>UP-CORE-MG17-PORT-2</t>
  </si>
  <si>
    <t>UP-CORE-MG18-PORT-1</t>
  </si>
  <si>
    <t>UP-CORE-MG18-PORT-2</t>
  </si>
  <si>
    <t>UP-CORE-MG19-PORT-1</t>
  </si>
  <si>
    <t>UP-CORE-MG19-PORT-2</t>
  </si>
  <si>
    <t>UP-CORE-MG20-PORT-1</t>
  </si>
  <si>
    <t>UP-CORE-MG20-PORT-2</t>
  </si>
  <si>
    <t>192.168.1.199/27</t>
  </si>
  <si>
    <t>192.168.2.199/27</t>
  </si>
  <si>
    <t>192.168.1.231/27</t>
  </si>
  <si>
    <t>192.168.2.231/27</t>
  </si>
  <si>
    <t>192.168.1.200/27</t>
  </si>
  <si>
    <t>192.168.2.200/27</t>
  </si>
  <si>
    <t>192.168.1.232/27</t>
  </si>
  <si>
    <t>192.168.2.232/27</t>
  </si>
  <si>
    <t>192.168.1.201/27</t>
  </si>
  <si>
    <t>192.168.2.201/27</t>
  </si>
  <si>
    <t>192.168.1.233/27</t>
  </si>
  <si>
    <t>192.168.2.233/27</t>
  </si>
  <si>
    <t>192.168.1.202/27</t>
  </si>
  <si>
    <t>192.168.2.202/27</t>
  </si>
  <si>
    <t>192.168.1.234/27</t>
  </si>
  <si>
    <t>192.168.2.234/27</t>
  </si>
  <si>
    <t>2402:3a80:1fff:19::b/64</t>
  </si>
  <si>
    <t>2402:3a80:1fff:1a::b/64</t>
  </si>
  <si>
    <t>2402:3a80:1fff:1b::b/64</t>
  </si>
  <si>
    <t>2402:3a80:1fff:1c::b/64</t>
  </si>
  <si>
    <t>2402:3a80:1fff:19::a/64</t>
  </si>
  <si>
    <t>2402:3a80:1fff:1a::a/64</t>
  </si>
  <si>
    <t>2402:3a80:1fff:1b::a/64</t>
  </si>
  <si>
    <t>2402:3a80:1fff:1c::a/64</t>
  </si>
  <si>
    <t>2402:3a80:1fff:19::9/64</t>
  </si>
  <si>
    <t>2402:3a80:1fff:1a::9/64</t>
  </si>
  <si>
    <t>2402:3a80:1fff:1b::9/64</t>
  </si>
  <si>
    <t>2402:3a80:1fff:1c::9/64</t>
  </si>
  <si>
    <t>2402:3a80:1fff:19::8/64</t>
  </si>
  <si>
    <t>2402:3a80:1fff:1a::8/64</t>
  </si>
  <si>
    <t>2402:3a80:1fff:1b::8/64</t>
  </si>
  <si>
    <t>2402:3a80:1fff:1c::8/64</t>
  </si>
  <si>
    <t>2402:3a80:1fff:9::65/128</t>
  </si>
  <si>
    <t>2402:3a80:1fff:9::67/128</t>
  </si>
  <si>
    <t>UP-CORE-MG-GRP-6-lo1</t>
  </si>
  <si>
    <t>192.168.3.21/32</t>
  </si>
  <si>
    <t>UP-CORE-MG-GRP-6-lo2</t>
  </si>
  <si>
    <t>192.168.3.23/32</t>
  </si>
  <si>
    <t>UP-CORE-MG-GRP-7-lo1</t>
  </si>
  <si>
    <t>192.168.3.25/32</t>
  </si>
  <si>
    <t>UP-CORE-MG-GRP-7-lo2</t>
  </si>
  <si>
    <t>192.168.3.27/32</t>
  </si>
  <si>
    <t>2402:3a80:1fff:9::69/128</t>
  </si>
  <si>
    <t>2402:3a80:1fff:9::6b/128</t>
  </si>
  <si>
    <t>2402:3a80:1fff:9::6d/128</t>
  </si>
  <si>
    <t>2402:3a80:1fff:9::6f/128</t>
  </si>
  <si>
    <t>UP-CORE-MG-GRP-8-lo1</t>
  </si>
  <si>
    <t>192.168.3.29/32</t>
  </si>
  <si>
    <t>UP-CORE-MG-GRP-8-lo2</t>
  </si>
  <si>
    <t>192.168.3.31/32</t>
  </si>
  <si>
    <t>UP-CORE-MG-GRP-9-lo1</t>
  </si>
  <si>
    <t>192.168.3.33/32</t>
  </si>
  <si>
    <t>UP-CORE-MG-GRP-9-lo2</t>
  </si>
  <si>
    <t>192.168.3.35/32</t>
  </si>
  <si>
    <t>2402:3a80:1fff:9::71/128</t>
  </si>
  <si>
    <t>2402:3a80:1fff:9::73/128</t>
  </si>
  <si>
    <t>UP-CORE-MG-GRP-9-S1u-SGW_S5-lo</t>
  </si>
  <si>
    <t>UP-CORE-MG-GRP-9-PGW_S5-S8-lo</t>
  </si>
  <si>
    <t>UP-CORE-MG-GRP-8-S1u-SGW_S5-lo</t>
  </si>
  <si>
    <t>UP-CORE-MG-GRP-8-PGW_S5-S8-lo</t>
  </si>
  <si>
    <t>UP-CORE-MG-GRP-7-S1u-SGW_S5-lo</t>
  </si>
  <si>
    <t>UP-CORE-MG-GRP-7-PGW_S5-S8-lo</t>
  </si>
  <si>
    <t>UP-CORE-MG-GRP-6-S1u-SGW_S5-lo</t>
  </si>
  <si>
    <t>UP-CORE-MG-GRP-6-PGW_S5-S8-lo</t>
  </si>
  <si>
    <t>192.168.1.39/27</t>
  </si>
  <si>
    <t>192.168.2.39/27</t>
  </si>
  <si>
    <t>192.168.1.135/27</t>
  </si>
  <si>
    <t>192.168.2.135/27</t>
  </si>
  <si>
    <t>192.168.1.40/27</t>
  </si>
  <si>
    <t>192.168.2.40/27</t>
  </si>
  <si>
    <t>192.168.1.136/27</t>
  </si>
  <si>
    <t>192.168.2.136/27</t>
  </si>
  <si>
    <t>192.168.1.41/27</t>
  </si>
  <si>
    <t>192.168.2.41/27</t>
  </si>
  <si>
    <t>192.168.1.137/27</t>
  </si>
  <si>
    <t>192.168.2.137/27</t>
  </si>
  <si>
    <t>192.168.1.42/27</t>
  </si>
  <si>
    <t>192.168.2.42/27</t>
  </si>
  <si>
    <t>192.168.1.138/27</t>
  </si>
  <si>
    <t>192.168.2.138/27</t>
  </si>
  <si>
    <t>UP-INTERNET-MG13-PORT-1</t>
  </si>
  <si>
    <t>UP-INTERNET-MG13-PORT-2</t>
  </si>
  <si>
    <t>UP-IMS-MG13-PORT-1</t>
  </si>
  <si>
    <t>UP-IMS-MG13-PORT-2</t>
  </si>
  <si>
    <t>Non-NAT-IPv6-MG13-PORT-1</t>
  </si>
  <si>
    <t>Non-NAT-IPv6-MG13-PORT-2</t>
  </si>
  <si>
    <t>TO-NAT-Redirect-MG13-PORT-1</t>
  </si>
  <si>
    <t>TO-NAT-Redirect-MG13-PORT-2</t>
  </si>
  <si>
    <t>UP-INTERNET-MG14-PORT-1</t>
  </si>
  <si>
    <t>UP-INTERNET-MG14-PORT-2</t>
  </si>
  <si>
    <t>UP-IMS-MG14-PORT-1</t>
  </si>
  <si>
    <t>UP-IMS-MG14-PORT-2</t>
  </si>
  <si>
    <t>Non-NAT-IPv6-MG14-PORT-1</t>
  </si>
  <si>
    <t>Non-NAT-IPv6-MG14-PORT-2</t>
  </si>
  <si>
    <t>TO-NAT-Redirect-MG14-PORT-1</t>
  </si>
  <si>
    <t>TO-NAT-Redirect-MG14-PORT-2</t>
  </si>
  <si>
    <t>UP-INTERNET-MG-GRP-6-lo1</t>
  </si>
  <si>
    <t>UP-INTERNET-MG-GRP-6-lo2</t>
  </si>
  <si>
    <t>UP-IMS-MG-GRP-6-lo1</t>
  </si>
  <si>
    <t>UP-IMS-MG-GRP-6-lo2</t>
  </si>
  <si>
    <t>NAT-IPv6-MG-GRP-6-lo1</t>
  </si>
  <si>
    <t>NAT-IPv6-MG-GRP-6-lo2</t>
  </si>
  <si>
    <t>www-pool6</t>
  </si>
  <si>
    <t>www-pool7</t>
  </si>
  <si>
    <t>www-pool9</t>
  </si>
  <si>
    <t>www-pool8</t>
  </si>
  <si>
    <t>192.168.1.71/27</t>
  </si>
  <si>
    <t>192.168.2.71/27</t>
  </si>
  <si>
    <t>192.168.1.167/27</t>
  </si>
  <si>
    <t>192.168.2.167/27</t>
  </si>
  <si>
    <t>192.168.1.72/27</t>
  </si>
  <si>
    <t>192.168.2.72/27</t>
  </si>
  <si>
    <t>192.168.1.168/27</t>
  </si>
  <si>
    <t>192.168.2.168/27</t>
  </si>
  <si>
    <t>192.168.1.73/27</t>
  </si>
  <si>
    <t>192.168.2.73/27</t>
  </si>
  <si>
    <t>192.168.1.169/27</t>
  </si>
  <si>
    <t>192.168.2.169/27</t>
  </si>
  <si>
    <t>192.168.1.74/27</t>
  </si>
  <si>
    <t>192.168.2.74/27</t>
  </si>
  <si>
    <t>192.168.1.170/27</t>
  </si>
  <si>
    <t>192.168.2.170/27</t>
  </si>
  <si>
    <t>2402:3a80:1fff:a::b/64</t>
  </si>
  <si>
    <t>2402:3a80:1fff:b::b/64</t>
  </si>
  <si>
    <t>2402:3a80:1fff:c::b/64</t>
  </si>
  <si>
    <t>2402:3a80:1fff:d::b/64</t>
  </si>
  <si>
    <t>2402:3a80:1fff:a::a/64</t>
  </si>
  <si>
    <t>2402:3a80:1fff:b::a/64</t>
  </si>
  <si>
    <t>2402:3a80:1fff:c::a/64</t>
  </si>
  <si>
    <t>2402:3a80:1fff:d::a/64</t>
  </si>
  <si>
    <t>2402:3a80:1fff:a::9/64</t>
  </si>
  <si>
    <t>2402:3a80:1fff:b::9/64</t>
  </si>
  <si>
    <t>2402:3a80:1fff:c::9/64</t>
  </si>
  <si>
    <t>2402:3a80:1fff:d::9/64</t>
  </si>
  <si>
    <t>2402:3a80:1fff:a::8/64</t>
  </si>
  <si>
    <t>2402:3a80:1fff:b::8/64</t>
  </si>
  <si>
    <t>2402:3a80:1fff:c::8/64</t>
  </si>
  <si>
    <t>2402:3a80:1fff:d::8/64</t>
  </si>
  <si>
    <t>19/3/1</t>
  </si>
  <si>
    <t>19/3/2</t>
  </si>
  <si>
    <t>20/3/1</t>
  </si>
  <si>
    <t>20/3/2</t>
  </si>
  <si>
    <t>1:11</t>
  </si>
  <si>
    <t>1:12</t>
  </si>
  <si>
    <t>192.168.3.59/32</t>
  </si>
  <si>
    <t>192.168.3.61/32</t>
  </si>
  <si>
    <t>192.168.3.63/32</t>
  </si>
  <si>
    <t>192.168.3.65/32</t>
  </si>
  <si>
    <t>192.168.3.67/32</t>
  </si>
  <si>
    <t>192.168.3.69/32</t>
  </si>
  <si>
    <t>192.168.3.71/32</t>
  </si>
  <si>
    <t>192.168.3.73/32</t>
  </si>
  <si>
    <t>17/3/1</t>
  </si>
  <si>
    <t>17/3/2</t>
  </si>
  <si>
    <t>18/3/1</t>
  </si>
  <si>
    <t>18/3/2</t>
  </si>
  <si>
    <t>UP-INTERNET-MG19-PORT-1</t>
  </si>
  <si>
    <t>UP-INTERNET-MG19-PORT-2</t>
  </si>
  <si>
    <t>UP-IMS-MG19-PORT-1</t>
  </si>
  <si>
    <t>UP-IMS-MG19-PORT-2</t>
  </si>
  <si>
    <t>Non-NAT-IPv6-MG19-PORT-1</t>
  </si>
  <si>
    <t>Non-NAT-IPv6-MG19-PORT-2</t>
  </si>
  <si>
    <t>TO-NAT-Redirect-MG19-PORT-1</t>
  </si>
  <si>
    <t>TO-NAT-Redirect-MG19-PORT-2</t>
  </si>
  <si>
    <t>UP-INTERNET-MG20-PORT-1</t>
  </si>
  <si>
    <t>UP-INTERNET-MG20-PORT-2</t>
  </si>
  <si>
    <t>UP-IMS-MG20-PORT-1</t>
  </si>
  <si>
    <t>UP-IMS-MG20-PORT-2</t>
  </si>
  <si>
    <t>Non-NAT-IPv6-MG20-PORT-1</t>
  </si>
  <si>
    <t>Non-NAT-IPv6-MG20-PORT-2</t>
  </si>
  <si>
    <t>TO-NAT-Redirect-MG20-PORT-1</t>
  </si>
  <si>
    <t>TO-NAT-Redirect-MG20-PORT-2</t>
  </si>
  <si>
    <t>UP-INTERNET-MG-GRP-9-lo1</t>
  </si>
  <si>
    <t>UP-INTERNET-MG-GRP-9-lo2</t>
  </si>
  <si>
    <t>UP-IMS-MG-GRP-9-lo1</t>
  </si>
  <si>
    <t>UP-IMS-MG-GRP-9-lo2</t>
  </si>
  <si>
    <t>NAT-IPv6-MG-GRP-9-lo1</t>
  </si>
  <si>
    <t>NAT-IPv6-MG-GRP-9-lo2</t>
  </si>
  <si>
    <t>192.168.3.107/32</t>
  </si>
  <si>
    <t>192.168.3.109/32</t>
  </si>
  <si>
    <t>2402:3a80:1fff:9::49/128</t>
  </si>
  <si>
    <t>2402:3a80:1fff:9::4b/128</t>
  </si>
  <si>
    <t>2402:3a80:1fff:9::45/128</t>
  </si>
  <si>
    <t>2402:3a80:1fff:9::47/128</t>
  </si>
  <si>
    <t>192.168.3.103/32</t>
  </si>
  <si>
    <t>192.168.3.105/32</t>
  </si>
  <si>
    <t>192.168.3.99/32</t>
  </si>
  <si>
    <t>192.168.3.101/32</t>
  </si>
  <si>
    <t>2402:3a80:1fff:9::41/128</t>
  </si>
  <si>
    <t>2402:3a80:1fff:9::43/128</t>
  </si>
  <si>
    <t>2402:3a80:1fff:9::3c/128</t>
  </si>
  <si>
    <t>2402:3a80:1fff:9::3e/128</t>
  </si>
  <si>
    <t>192.168.3.95/32</t>
  </si>
  <si>
    <t>192.168.3.97/32</t>
  </si>
  <si>
    <t>UP-INTERNET-MG-GRP-7-lo1</t>
  </si>
  <si>
    <t>UP-INTERNET-MG-GRP-7-lo2</t>
  </si>
  <si>
    <t>UP-IMS-MG-GRP-7-lo1</t>
  </si>
  <si>
    <t>UP-IMS-MG-GRP-7-lo2</t>
  </si>
  <si>
    <t>NAT-IPv6-MG-GRP-7-lo1</t>
  </si>
  <si>
    <t>NAT-IPv6-MG-GRP-7-lo2</t>
  </si>
  <si>
    <t>UP-INTERNET-MG15-PORT-1</t>
  </si>
  <si>
    <t>UP-INTERNET-MG15-PORT-2</t>
  </si>
  <si>
    <t>UP-IMS-MG15-PORT-1</t>
  </si>
  <si>
    <t>UP-IMS-MG15-PORT-2</t>
  </si>
  <si>
    <t>Non-NAT-IPv6-MG15-PORT-1</t>
  </si>
  <si>
    <t>Non-NAT-IPv6-MG15-PORT-2</t>
  </si>
  <si>
    <t>TO-NAT-Redirect-MG15-PORT-1</t>
  </si>
  <si>
    <t>TO-NAT-Redirect-MG15-PORT-2</t>
  </si>
  <si>
    <t>UP-INTERNET-MG16-PORT-1</t>
  </si>
  <si>
    <t>UP-INTERNET-MG16-PORT-2</t>
  </si>
  <si>
    <t>UP-IMS-MG16-PORT-1</t>
  </si>
  <si>
    <t>UP-IMS-MG16-PORT-2</t>
  </si>
  <si>
    <t>Non-NAT-IPv6-MG16-PORT-1</t>
  </si>
  <si>
    <t>Non-NAT-IPv6-MG16-PORT-2</t>
  </si>
  <si>
    <t>TO-NAT-Redirect-MG16-PORT-1</t>
  </si>
  <si>
    <t>TO-NAT-Redirect-MG16-PORT-2</t>
  </si>
  <si>
    <t>UP-INTERNET-MG18-PORT-1</t>
  </si>
  <si>
    <t>UP-INTERNET-MG18-PORT-2</t>
  </si>
  <si>
    <t>UP-IMS-MG18-PORT-1</t>
  </si>
  <si>
    <t>UP-IMS-MG18-PORT-2</t>
  </si>
  <si>
    <t>Non-NAT-IPv6-MG18-PORT-1</t>
  </si>
  <si>
    <t>Non-NAT-IPv6-MG18-PORT-2</t>
  </si>
  <si>
    <t>TO-NAT-Redirect-MG18-PORT-1</t>
  </si>
  <si>
    <t>TO-NAT-Redirect-MG18-PORT-2</t>
  </si>
  <si>
    <t>UP-INTERNET-MG17-PORT-1</t>
  </si>
  <si>
    <t>UP-INTERNET-MG17-PORT-2</t>
  </si>
  <si>
    <t>UP-IMS-MG17-PORT-1</t>
  </si>
  <si>
    <t>UP-IMS-MG17-PORT-2</t>
  </si>
  <si>
    <t>Non-NAT-IPv6-MG17-PORT-1</t>
  </si>
  <si>
    <t>Non-NAT-IPv6-MG17-PORT-2</t>
  </si>
  <si>
    <t>TO-NAT-Redirect-MG17-PORT-1</t>
  </si>
  <si>
    <t>TO-NAT-Redirect-MG17-PORT-2</t>
  </si>
  <si>
    <t>UP-INTERNET-MG-GRP-8-lo1</t>
  </si>
  <si>
    <t>UP-INTERNET-MG-GRP-8-lo2</t>
  </si>
  <si>
    <t>UP-IMS-MG-GRP-8-lo1</t>
  </si>
  <si>
    <t>UP-IMS-MG-GRP-8-lo2</t>
  </si>
  <si>
    <t>NAT-IPv6-MG-GRP-8-lo1</t>
  </si>
  <si>
    <t>NAT-IPv6-MG-GRP-8-lo2</t>
  </si>
  <si>
    <t>13/3/1</t>
  </si>
  <si>
    <t>13/3/2</t>
  </si>
  <si>
    <t>14/3/1</t>
  </si>
  <si>
    <t>14/3/2</t>
  </si>
  <si>
    <t>15/3/1</t>
  </si>
  <si>
    <t>15/3/2</t>
  </si>
  <si>
    <t>16/3/1</t>
  </si>
  <si>
    <t>16/3/2</t>
  </si>
  <si>
    <t>2402:3a80:1fff:5::8/64</t>
  </si>
  <si>
    <t>2402:3a80:1fff:6::8/64</t>
  </si>
  <si>
    <t>2402:3a80:1fff:7::8/64</t>
  </si>
  <si>
    <t>2402:3a80:1fff:8::8/64</t>
  </si>
  <si>
    <t>2402:3a80:1fff:5::9/64</t>
  </si>
  <si>
    <t>2402:3a80:1fff:6::9/64</t>
  </si>
  <si>
    <t>2402:3a80:1fff:7::9/64</t>
  </si>
  <si>
    <t>2402:3a80:1fff:8::9/64</t>
  </si>
  <si>
    <t>2402:3a80:1fff:5::a/64</t>
  </si>
  <si>
    <t>2402:3a80:1fff:6::a/64</t>
  </si>
  <si>
    <t>2402:3a80:1fff:7::a/64</t>
  </si>
  <si>
    <t>2402:3a80:1fff:8::a/64</t>
  </si>
  <si>
    <t>2402:3a80:1fff:5::b/64</t>
  </si>
  <si>
    <t>2402:3a80:1fff:6::b/64</t>
  </si>
  <si>
    <t>2402:3a80:1fff:7::b/64</t>
  </si>
  <si>
    <t>2402:3a80:1fff:8::b/64</t>
  </si>
  <si>
    <t>2402:3a80:1fff:9::23/128</t>
  </si>
  <si>
    <t>2402:3a80:1fff:9::25/128</t>
  </si>
  <si>
    <t>2402:3a80:1fff:9::1e/128</t>
  </si>
  <si>
    <t>2402:3a80:1fff:9::21/128</t>
  </si>
  <si>
    <t>2402:3a80:1fff:9::1a/128</t>
  </si>
  <si>
    <t>2402:3a80:1fff:9::1c/128</t>
  </si>
  <si>
    <t>2402:3a80:1fff:9::16/128</t>
  </si>
  <si>
    <t>2402:3a80:1fff:9::18/128</t>
  </si>
  <si>
    <t>2402:3a80:1fff:10::26/126</t>
  </si>
  <si>
    <t>2402:3a80:1fff:10::25/126</t>
  </si>
  <si>
    <t>2402:3a80:1fff:11::26/126</t>
  </si>
  <si>
    <t>2402:3a80:1fff:11::25/126</t>
  </si>
  <si>
    <t>2402:3a80:1fff:12::26/126</t>
  </si>
  <si>
    <t>2402:3a80:1fff:12::25/126</t>
  </si>
  <si>
    <t>2402:3a80:1fff:13::26/126</t>
  </si>
  <si>
    <t>2402:3a80:1fff:13::25/126</t>
  </si>
  <si>
    <t>2402:3a80:1fff:10::22/126</t>
  </si>
  <si>
    <t>2402:3a80:1fff:10::21/126</t>
  </si>
  <si>
    <t>2402:3a80:1fff:11::22/126</t>
  </si>
  <si>
    <t>2402:3a80:1fff:11::21/126</t>
  </si>
  <si>
    <t>2402:3a80:1fff:12::22/126</t>
  </si>
  <si>
    <t>2402:3a80:1fff:12::21/126</t>
  </si>
  <si>
    <t>2402:3a80:1fff:13::22/126</t>
  </si>
  <si>
    <t>2402:3a80:1fff:13::21/126</t>
  </si>
  <si>
    <t>2402:3a80:1fff:10::1e/126</t>
  </si>
  <si>
    <t>2402:3a80:1fff:10::1d/126</t>
  </si>
  <si>
    <t>2402:3a80:1fff:11::1e/126</t>
  </si>
  <si>
    <t>2402:3a80:1fff:11::1d/126</t>
  </si>
  <si>
    <t>2402:3a80:1fff:12::1e/126</t>
  </si>
  <si>
    <t>2402:3a80:1fff:12::1d/126</t>
  </si>
  <si>
    <t>2402:3a80:1fff:13::1e/126</t>
  </si>
  <si>
    <t>2402:3a80:1fff:13::1d/126</t>
  </si>
  <si>
    <t>2402:3a80:1fff:10::1a/126</t>
  </si>
  <si>
    <t>2402:3a80:1fff:10::19/126</t>
  </si>
  <si>
    <t>2402:3a80:1fff:11::1a/126</t>
  </si>
  <si>
    <t>2402:3a80:1fff:11::19/126</t>
  </si>
  <si>
    <t>2402:3a80:1fff:12::1a/126</t>
  </si>
  <si>
    <t>2402:3a80:1fff:12::19/126</t>
  </si>
  <si>
    <t>2402:3a80:1fff:13::1a/126</t>
  </si>
  <si>
    <t>2402:3a80:1fff:13::19/126</t>
  </si>
  <si>
    <t>2402:3a80:1fff:14::1a/126</t>
  </si>
  <si>
    <t>2402:3a80:1fff:14::19/126</t>
  </si>
  <si>
    <t>2402:3a80:1fff:15::1a/126</t>
  </si>
  <si>
    <t>2402:3a80:1fff:15::19/126</t>
  </si>
  <si>
    <t>2402:3a80:1fff:16::1a/126</t>
  </si>
  <si>
    <t>2402:3a80:1fff:16::19/126</t>
  </si>
  <si>
    <t>2402:3a80:1fff:17::1a/126</t>
  </si>
  <si>
    <t>2402:3a80:1fff:17::19/126</t>
  </si>
  <si>
    <t>2402:3a80:1fff:14::1e/126</t>
  </si>
  <si>
    <t>2402:3a80:1fff:14::1d/126</t>
  </si>
  <si>
    <t>2402:3a80:1fff:15::1e/126</t>
  </si>
  <si>
    <t>2402:3a80:1fff:15::1d/126</t>
  </si>
  <si>
    <t>2402:3a80:1fff:16::1e/126</t>
  </si>
  <si>
    <t>2402:3a80:1fff:16::1d/126</t>
  </si>
  <si>
    <t>2402:3a80:1fff:17::1e/126</t>
  </si>
  <si>
    <t>2402:3a80:1fff:17::1d/126</t>
  </si>
  <si>
    <t>2402:3a80:1fff:14::22/126</t>
  </si>
  <si>
    <t>2402:3a80:1fff:14::21/126</t>
  </si>
  <si>
    <t>2402:3a80:1fff:15::22/126</t>
  </si>
  <si>
    <t>2402:3a80:1fff:15::21/126</t>
  </si>
  <si>
    <t>2402:3a80:1fff:16::22/126</t>
  </si>
  <si>
    <t>2402:3a80:1fff:16::21/126</t>
  </si>
  <si>
    <t>2402:3a80:1fff:17::22/126</t>
  </si>
  <si>
    <t>2402:3a80:1fff:17::21/126</t>
  </si>
  <si>
    <t>2402:3a80:1fff:14::26/126</t>
  </si>
  <si>
    <t>2402:3a80:1fff:14::25/126</t>
  </si>
  <si>
    <t>2402:3a80:1fff:15::26/126</t>
  </si>
  <si>
    <t>2402:3a80:1fff:15::25/126</t>
  </si>
  <si>
    <t>2402:3a80:1fff:16::26/126</t>
  </si>
  <si>
    <t>2402:3a80:1fff:16::25/126</t>
  </si>
  <si>
    <t>2402:3a80:1fff:17::26/126</t>
  </si>
  <si>
    <t>2402:3a80:1fff:17::25/126</t>
  </si>
  <si>
    <t>secret</t>
  </si>
  <si>
    <t>IPMTU</t>
  </si>
  <si>
    <t>SGW-LI DF3</t>
  </si>
  <si>
    <t>PGW_s5_grp1</t>
  </si>
  <si>
    <t>PGW_s8_grp1</t>
  </si>
  <si>
    <t>PGW_s5_grp2</t>
  </si>
  <si>
    <t>PGW_s8_grp2</t>
  </si>
  <si>
    <t>PGW_s5_grp3</t>
  </si>
  <si>
    <t>PGW_s8_grp3</t>
  </si>
  <si>
    <t>PGW_s5_grp4</t>
  </si>
  <si>
    <t>PGW_s8_grp4</t>
  </si>
  <si>
    <t>Nokia@123</t>
  </si>
  <si>
    <t>CMG1_NATINSIDE1300StdbyExt1_UPF</t>
  </si>
  <si>
    <t>CMG1_NATINSIDE1300StdbyExt2_UPF</t>
  </si>
  <si>
    <t>CMG1_NATINSIDE1300ActiveExt1_UPF</t>
  </si>
  <si>
    <t>CMG1_NATINSIDE1300ActiveExt2_UPF</t>
  </si>
  <si>
    <t>99.99.99.10</t>
  </si>
  <si>
    <t>99.99.99.11</t>
  </si>
  <si>
    <t>192.168.3.110/32</t>
  </si>
  <si>
    <t>192.168.3.37/32</t>
  </si>
  <si>
    <t>192.168.3.111/32</t>
  </si>
  <si>
    <t>192.168.3.36/32</t>
  </si>
  <si>
    <t>1:9</t>
  </si>
  <si>
    <t>1:10</t>
  </si>
  <si>
    <t>1:13</t>
  </si>
  <si>
    <t>1:14</t>
  </si>
  <si>
    <t>1:15</t>
  </si>
  <si>
    <t>1:16</t>
  </si>
  <si>
    <t>1:17</t>
  </si>
  <si>
    <t>1:18</t>
  </si>
  <si>
    <t>PGW-Gx-PCRF-Peer-1</t>
  </si>
  <si>
    <t>PGW-Gx-PCRF-Peer-2</t>
  </si>
  <si>
    <t>nokia.com</t>
  </si>
  <si>
    <t>99.99.99.X</t>
  </si>
  <si>
    <t>8.8.8.8</t>
  </si>
  <si>
    <t>8.8.4.4</t>
  </si>
  <si>
    <t>PGW Charging Profile For CC 8_Vodafone Roaming</t>
  </si>
  <si>
    <t>2001:4860:4860::8888</t>
  </si>
  <si>
    <t>2001:4860:4860::8844</t>
  </si>
  <si>
    <t>IPv6-1405-MG9-to-WBX-1</t>
  </si>
  <si>
    <t>IPv6-1405-MG9-to-WBX-2</t>
  </si>
  <si>
    <t>IPv6-1405-MG10-to-WBX-1</t>
  </si>
  <si>
    <t>IPv6-1405-MG10-to-WBX-2</t>
  </si>
  <si>
    <t>IPv6-1406-MG13-to-WBX-1</t>
  </si>
  <si>
    <t>IPv6-1406-MG13-to-WBX-2</t>
  </si>
  <si>
    <t>IPv6-1406-MG14-to-WBX-1</t>
  </si>
  <si>
    <t>IPv6-1406-MG14-to-WBX-2</t>
  </si>
  <si>
    <t>IPv6-1407-MG15-to-WBX-1</t>
  </si>
  <si>
    <t>IPv6-1407-MG15-to-WBX-2</t>
  </si>
  <si>
    <t>IPv6-1407-MG16-to-WBX-1</t>
  </si>
  <si>
    <t>IPv6-1407-MG16-to-WBX-2</t>
  </si>
  <si>
    <t>IPv6-1408-MG17-to-WBX-1</t>
  </si>
  <si>
    <t>IPv6-1408-MG17-to-WBX-2</t>
  </si>
  <si>
    <t>IPv6-1408-MG18-to-WBX-1</t>
  </si>
  <si>
    <t>IPv6-1408-MG18-to-WBX-2</t>
  </si>
  <si>
    <t>IPv6-1409-MG19-to-WBX-1</t>
  </si>
  <si>
    <t>IPv6-1409-MG19-to-WBX-2</t>
  </si>
  <si>
    <t>IPv6-1409-MG20-to-WBX-1</t>
  </si>
  <si>
    <t>IPv6-1409-MG20-to-WBX-2</t>
  </si>
  <si>
    <t>MultiNetworkRealm</t>
  </si>
  <si>
    <t>dd</t>
  </si>
  <si>
    <t>OSPF</t>
  </si>
  <si>
    <t xml:space="preserve">OSPF Routing </t>
  </si>
  <si>
    <t>OSPFID</t>
  </si>
  <si>
    <t>AreaID</t>
  </si>
  <si>
    <t>UP-CORE-MG-GRP-5-PGW_S5-S8-lo</t>
  </si>
  <si>
    <t>UP-CORE-MG-GRP-5-S1u-SGW_S5-lo</t>
  </si>
  <si>
    <t>PGW_s5_grp5</t>
  </si>
  <si>
    <t>PGW_s8_grp5</t>
  </si>
  <si>
    <t>PGW_s5_grp6</t>
  </si>
  <si>
    <t>PGW_s8_grp6</t>
  </si>
  <si>
    <t>PGW_s5_grp7</t>
  </si>
  <si>
    <t>PGW_s8_grp7</t>
  </si>
  <si>
    <t>PGW_s5_grp8</t>
  </si>
  <si>
    <t>PGW_s8_grp8</t>
  </si>
  <si>
    <t>readonly</t>
  </si>
  <si>
    <t>writeonly</t>
  </si>
  <si>
    <t>Store all logs</t>
  </si>
  <si>
    <t>Syslog Server CPF</t>
  </si>
  <si>
    <t>Syslog Server UPF</t>
  </si>
  <si>
    <t>SGW Charging Profile0</t>
  </si>
  <si>
    <t>10.254.68.227</t>
  </si>
  <si>
    <t>Deploymen Type</t>
  </si>
  <si>
    <t>CUPS</t>
  </si>
  <si>
    <t>NON-CUPS</t>
  </si>
  <si>
    <t>Number of CPF MG Groups</t>
  </si>
  <si>
    <t>Number of UPF MG Groups</t>
  </si>
  <si>
    <t>Number of SPGW MG Groups</t>
  </si>
  <si>
    <t>PGW_s5_grp9</t>
  </si>
  <si>
    <t>PGW_s8_grp9</t>
  </si>
  <si>
    <t>upf-pfcp-profile</t>
  </si>
  <si>
    <t>Peer list for UPF</t>
  </si>
  <si>
    <t>test1</t>
  </si>
  <si>
    <t>Akash</t>
  </si>
  <si>
    <t>www-pool5</t>
  </si>
  <si>
    <t>&lt;1-9&gt;</t>
  </si>
  <si>
    <t>**Imp - First adjust UPF and then CPF only if using CUPS, don't adjust otherwise</t>
  </si>
  <si>
    <t>VLAN Solution</t>
  </si>
  <si>
    <t>Number of Ext Ports per LB for CPF</t>
  </si>
  <si>
    <t>Number of Ext Ports per LB for UPF</t>
  </si>
  <si>
    <t>Number of Ext Ports per MG for UPF</t>
  </si>
  <si>
    <t>**Default is 2 LB per VNF</t>
  </si>
  <si>
    <t>VLAN-aware</t>
  </si>
  <si>
    <t>VLAN-unaware</t>
  </si>
  <si>
    <t>1/1/3</t>
  </si>
  <si>
    <t>1/1/4</t>
  </si>
  <si>
    <t>1/1/5</t>
  </si>
  <si>
    <t>1/1/6</t>
  </si>
  <si>
    <t>1/1/7</t>
  </si>
  <si>
    <t>1/1/8</t>
  </si>
  <si>
    <t>1/1/9</t>
  </si>
  <si>
    <t>1/1/10</t>
  </si>
  <si>
    <t>1/1/11</t>
  </si>
  <si>
    <t>1/1/12</t>
  </si>
  <si>
    <t>1/1/13</t>
  </si>
  <si>
    <t>1/1/14</t>
  </si>
  <si>
    <t>1/1/15</t>
  </si>
  <si>
    <t>1/1/16</t>
  </si>
  <si>
    <t>1/1/17</t>
  </si>
  <si>
    <t>1/1/18</t>
  </si>
  <si>
    <t>1/1/19</t>
  </si>
  <si>
    <t>1/1/20</t>
  </si>
  <si>
    <t>LB1-Port3</t>
  </si>
  <si>
    <t>LB1-Port4</t>
  </si>
  <si>
    <t>LB1-Port5</t>
  </si>
  <si>
    <t>LB1-Port6</t>
  </si>
  <si>
    <t>LB1-Port7</t>
  </si>
  <si>
    <t>LB1-Port8</t>
  </si>
  <si>
    <t>LB1-Port9</t>
  </si>
  <si>
    <t>LB1-Port10</t>
  </si>
  <si>
    <t>LB1-Port11</t>
  </si>
  <si>
    <t>LB1-Port12</t>
  </si>
  <si>
    <t>LB1-Port13</t>
  </si>
  <si>
    <t>LB1-Port14</t>
  </si>
  <si>
    <t>LB1-Port15</t>
  </si>
  <si>
    <t>LB1-Port16</t>
  </si>
  <si>
    <t>LB1-Port17</t>
  </si>
  <si>
    <t>LB1-Port18</t>
  </si>
  <si>
    <t>LB1-Port19</t>
  </si>
  <si>
    <t>LB1-Port20</t>
  </si>
  <si>
    <t>2/1/3</t>
  </si>
  <si>
    <t>2/1/4</t>
  </si>
  <si>
    <t>2/1/5</t>
  </si>
  <si>
    <t>2/1/6</t>
  </si>
  <si>
    <t>2/1/7</t>
  </si>
  <si>
    <t>2/1/8</t>
  </si>
  <si>
    <t>LB2-Port3</t>
  </si>
  <si>
    <t>LB2-Port4</t>
  </si>
  <si>
    <t>LB2-Port5</t>
  </si>
  <si>
    <t>LB2-Port6</t>
  </si>
  <si>
    <t>LB2-Port7</t>
  </si>
  <si>
    <t>LB2-Port8</t>
  </si>
  <si>
    <t>LB2-Port9</t>
  </si>
  <si>
    <t>LB2-Port10</t>
  </si>
  <si>
    <t>LB2-Port11</t>
  </si>
  <si>
    <t>LB2-Port12</t>
  </si>
  <si>
    <t>LB2-Port13</t>
  </si>
  <si>
    <t>LB2-Port14</t>
  </si>
  <si>
    <t>LB2-Port15</t>
  </si>
  <si>
    <t>LB2-Port16</t>
  </si>
  <si>
    <t>LB2-Port17</t>
  </si>
  <si>
    <t>LB2-Port18</t>
  </si>
  <si>
    <t>LB2-Port19</t>
  </si>
  <si>
    <t>LB2-Port20</t>
  </si>
  <si>
    <t>2/1/9</t>
  </si>
  <si>
    <t>2/1/10</t>
  </si>
  <si>
    <t>2/1/11</t>
  </si>
  <si>
    <t>2/1/12</t>
  </si>
  <si>
    <t>2/1/13</t>
  </si>
  <si>
    <t>2/1/14</t>
  </si>
  <si>
    <t>2/1/15</t>
  </si>
  <si>
    <t>2/1/16</t>
  </si>
  <si>
    <t>2/1/17</t>
  </si>
  <si>
    <t>2/1/18</t>
  </si>
  <si>
    <t>2/1/19</t>
  </si>
  <si>
    <t>2/1/20</t>
  </si>
  <si>
    <t>Number of LB VPRNs for CPF</t>
  </si>
  <si>
    <t>Number of LB VPRNs for UPF</t>
  </si>
  <si>
    <t>Number of MG VPRNs for UPF</t>
  </si>
  <si>
    <t>Number of Ext Ports per VPRN Per LB for CPF</t>
  </si>
  <si>
    <t>Number of Ext Ports per VPRN Per LB for UPF</t>
  </si>
  <si>
    <t>Number of LB VMs for CPF</t>
  </si>
  <si>
    <t>Number of LB VMs for UPF</t>
  </si>
  <si>
    <t>Infra IP Subnet Range for CPF</t>
  </si>
  <si>
    <t>192.168.0.0/24</t>
  </si>
  <si>
    <t>External IP Subnet Range for CPF</t>
  </si>
  <si>
    <t>10.255.67.0/28</t>
  </si>
  <si>
    <t>Public External IP Subnet Range for CPF</t>
  </si>
  <si>
    <t>Infra IP Subnet Range for UPF</t>
  </si>
  <si>
    <t>192.168.1.0/24</t>
  </si>
  <si>
    <t>External IP Subnet Range for UPF</t>
  </si>
  <si>
    <t>10.95.68.16/28</t>
  </si>
  <si>
    <t>Public External IP Subnet Range for UPF</t>
  </si>
  <si>
    <t>203.88.25.16/27</t>
  </si>
  <si>
    <t xml:space="preserve">IP Subnet  Requirment </t>
  </si>
  <si>
    <t xml:space="preserve">Total Ips </t>
  </si>
  <si>
    <t>VLAN Solutions and Ports</t>
  </si>
  <si>
    <t>VPRN Details</t>
  </si>
  <si>
    <t xml:space="preserve">MG VM Details </t>
  </si>
  <si>
    <t>LB VM Details</t>
  </si>
  <si>
    <t>Minimum Number of total Ips required  for Infra (Private) for CPF</t>
  </si>
  <si>
    <t>Minimum Number of total Ips required  for loopback (Private) for CPF</t>
  </si>
  <si>
    <t>Minimum Number of total Ips required (Public) for CPF</t>
  </si>
  <si>
    <t>Minimum Number of total Ips required  for Infra (Private) for UPF</t>
  </si>
  <si>
    <t>Minimum Number of total Ips required  for loopback (Private) for UPF</t>
  </si>
  <si>
    <t>Minimum Number of total Ips required (Public) for UPF</t>
  </si>
  <si>
    <t>Recommended Subnet /24</t>
  </si>
  <si>
    <t>Recommended Subnet /28</t>
  </si>
  <si>
    <t xml:space="preserve">Recommended Subnet /27 if using all 9 MG Groups </t>
  </si>
  <si>
    <t>200.88.25.0/29</t>
  </si>
  <si>
    <t>Recommended Subnet /29 for minimum 3 Ips</t>
  </si>
  <si>
    <t>i.e. VPRNs for S5, S8, Gn, Gp, S1U etc.</t>
  </si>
  <si>
    <t>i.e. VPRNs for Ga, Gx, Gy, LI ,S11 etc.</t>
  </si>
  <si>
    <t>i.e. VPRNs for LI, S5, S8, Gn, Gp, S1U etc.</t>
  </si>
  <si>
    <t>CP CMG External Interfaces IP detail</t>
  </si>
  <si>
    <t>Loopback Interface Name</t>
  </si>
  <si>
    <t xml:space="preserve">IPv4 </t>
  </si>
  <si>
    <t>IPv6</t>
  </si>
  <si>
    <t>LI-X1/SYSTEM IP</t>
  </si>
  <si>
    <t>System</t>
  </si>
  <si>
    <t>LI-X2</t>
  </si>
  <si>
    <t>Gx</t>
  </si>
  <si>
    <t>Radius</t>
  </si>
  <si>
    <t>Ga PGW</t>
  </si>
  <si>
    <t>Ga SGW</t>
  </si>
  <si>
    <t>Gy</t>
  </si>
  <si>
    <t>S11/S4</t>
  </si>
  <si>
    <t>GTP-C</t>
  </si>
  <si>
    <t>CPF_SGW-S5-S8-Loopback</t>
  </si>
  <si>
    <t>Sx</t>
  </si>
  <si>
    <t>UP CMG External Interfaces IP detail</t>
  </si>
  <si>
    <t>SYSTEM IP</t>
  </si>
  <si>
    <t>SYSTEM</t>
  </si>
  <si>
    <t>LI-X3</t>
  </si>
  <si>
    <t>GTP-U</t>
  </si>
  <si>
    <t>SGW-S5-S8-S1u-lo1-GRP1</t>
  </si>
  <si>
    <t>SGW-S5-S8-S1u-lo1-GRP2</t>
  </si>
  <si>
    <t>SGW-S5-S8-S1u-lo1-GRP3</t>
  </si>
  <si>
    <t>SGW-S5-S8-S1u-lo1-GRP4</t>
  </si>
  <si>
    <t>SGW-S5-S8-S1u-lo1-GRP5</t>
  </si>
  <si>
    <t>SGW-S5-S8-S1u-lo1-GRP6</t>
  </si>
  <si>
    <t>SGW-S5-S8-S1u-lo1-GRP7</t>
  </si>
  <si>
    <t>SGW-S5-S8-S1u-lo1-GRP8</t>
  </si>
  <si>
    <t>SGW-S5-S8-S1u-lo1-GRP9</t>
  </si>
  <si>
    <t>Gn-Gp-S5-S8-lo1-GRP1</t>
  </si>
  <si>
    <t>Gn-Gp-S5-S8-lo1-GRP2</t>
  </si>
  <si>
    <t>Gn-Gp-S5-S8-lo1-GRP3</t>
  </si>
  <si>
    <t>Gn-Gp-S5-S8-lo1-GRP4</t>
  </si>
  <si>
    <t>Gn-Gp-S5-S8-lo1-GRP5</t>
  </si>
  <si>
    <t>Gn-Gp-S5-S8-lo1-GRP6</t>
  </si>
  <si>
    <t>Gn-Gp-S5-S8-lo1-GRP7</t>
  </si>
  <si>
    <t>Gn-Gp-S5-S8-lo1-GRP8</t>
  </si>
  <si>
    <t>Gn-Gp-S5-S8-lo1-GRP9</t>
  </si>
  <si>
    <t>Sgi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</si>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</sst>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Nokia Pure Text Light"/>
      <family val="2"/>
    </font>
    <font>
      <sz val="11"/>
      <name val="Arial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Nokia Sans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BDE2D"/>
      <name val="Courier New"/>
      <family val="3"/>
    </font>
    <font>
      <sz val="10"/>
      <color rgb="FF222222"/>
      <name val="Arial"/>
      <family val="2"/>
    </font>
    <font>
      <b/>
      <sz val="11"/>
      <color rgb="FF00B0F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Calibri"/>
      <family val="2"/>
      <scheme val="minor"/>
    </font>
    <font>
      <sz val="11"/>
      <name val="Tahoma"/>
      <family val="2"/>
    </font>
    <font>
      <sz val="11"/>
      <name val="Times New Roman"/>
      <family val="1"/>
    </font>
    <font>
      <sz val="16"/>
      <name val="Times New Roman"/>
      <family val="1"/>
    </font>
    <font>
      <sz val="16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92D05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1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</cellStyleXfs>
  <cellXfs count="416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2" fillId="4" borderId="1" xfId="0" applyFont="1" applyFill="1" applyBorder="1" applyAlignment="1">
      <alignment vertical="top"/>
    </xf>
    <xf numFmtId="0" fontId="2" fillId="0" borderId="0" xfId="0" applyFont="1"/>
    <xf numFmtId="0" fontId="0" fillId="0" borderId="0" xfId="0" applyAlignment="1"/>
    <xf numFmtId="0" fontId="0" fillId="5" borderId="0" xfId="0" applyFill="1"/>
    <xf numFmtId="0" fontId="0" fillId="3" borderId="0" xfId="0" applyFill="1"/>
    <xf numFmtId="0" fontId="0" fillId="0" borderId="1" xfId="0" applyBorder="1"/>
    <xf numFmtId="0" fontId="0" fillId="0" borderId="1" xfId="0" applyFill="1" applyBorder="1" applyAlignment="1">
      <alignment horizontal="center" vertical="center"/>
    </xf>
    <xf numFmtId="1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" xfId="0" applyBorder="1"/>
    <xf numFmtId="49" fontId="6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/>
    <xf numFmtId="0" fontId="0" fillId="0" borderId="11" xfId="0" applyFill="1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0" fillId="0" borderId="0" xfId="0" applyFill="1"/>
    <xf numFmtId="0" fontId="8" fillId="5" borderId="1" xfId="0" applyFont="1" applyFill="1" applyBorder="1" applyAlignment="1">
      <alignment horizontal="center" vertical="center" wrapText="1"/>
    </xf>
    <xf numFmtId="0" fontId="0" fillId="0" borderId="0" xfId="0" applyFill="1" applyAlignment="1"/>
    <xf numFmtId="0" fontId="0" fillId="5" borderId="1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49" fontId="6" fillId="9" borderId="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" xfId="0" applyNumberFormat="1" applyFont="1" applyFill="1" applyBorder="1" applyAlignment="1" applyProtection="1">
      <alignment horizontal="center" vertical="center" wrapText="1"/>
      <protection locked="0"/>
    </xf>
    <xf numFmtId="49" fontId="6" fillId="9" borderId="4" xfId="0" applyNumberFormat="1" applyFont="1" applyFill="1" applyBorder="1" applyAlignment="1" applyProtection="1">
      <alignment horizontal="center" vertical="center" wrapText="1"/>
      <protection locked="0"/>
    </xf>
    <xf numFmtId="49" fontId="6" fillId="9" borderId="13" xfId="0" applyNumberFormat="1" applyFont="1" applyFill="1" applyBorder="1" applyAlignment="1" applyProtection="1">
      <alignment horizontal="center" vertical="center" wrapText="1"/>
      <protection locked="0"/>
    </xf>
    <xf numFmtId="0" fontId="12" fillId="13" borderId="1" xfId="5" applyFont="1" applyFill="1" applyBorder="1" applyAlignment="1">
      <alignment horizontal="center" vertical="center"/>
    </xf>
    <xf numFmtId="0" fontId="12" fillId="13" borderId="4" xfId="5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2" fillId="13" borderId="5" xfId="5" applyFont="1" applyFill="1" applyBorder="1" applyAlignment="1">
      <alignment horizontal="center" vertical="center"/>
    </xf>
    <xf numFmtId="0" fontId="0" fillId="5" borderId="1" xfId="0" applyFill="1" applyBorder="1" applyAlignment="1"/>
    <xf numFmtId="0" fontId="12" fillId="13" borderId="3" xfId="5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/>
    </xf>
    <xf numFmtId="0" fontId="8" fillId="5" borderId="1" xfId="0" applyFont="1" applyFill="1" applyBorder="1" applyAlignment="1">
      <alignment horizontal="center" wrapText="1"/>
    </xf>
    <xf numFmtId="0" fontId="1" fillId="2" borderId="5" xfId="1" applyBorder="1" applyAlignment="1">
      <alignment horizontal="center" vertical="center"/>
    </xf>
    <xf numFmtId="0" fontId="0" fillId="14" borderId="5" xfId="6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1" fillId="0" borderId="0" xfId="6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5" borderId="1" xfId="0" applyFill="1" applyBorder="1" applyAlignment="1">
      <alignment wrapText="1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horizontal="left" vertical="top" wrapText="1"/>
    </xf>
    <xf numFmtId="0" fontId="14" fillId="0" borderId="7" xfId="0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Fill="1" applyBorder="1"/>
    <xf numFmtId="0" fontId="14" fillId="0" borderId="26" xfId="0" applyFont="1" applyFill="1" applyBorder="1" applyAlignment="1">
      <alignment horizontal="left" vertical="top" wrapText="1"/>
    </xf>
    <xf numFmtId="0" fontId="14" fillId="0" borderId="26" xfId="0" applyFont="1" applyFill="1" applyBorder="1"/>
    <xf numFmtId="0" fontId="14" fillId="0" borderId="17" xfId="0" applyFont="1" applyFill="1" applyBorder="1"/>
    <xf numFmtId="0" fontId="14" fillId="0" borderId="1" xfId="0" applyFont="1" applyBorder="1"/>
    <xf numFmtId="0" fontId="14" fillId="0" borderId="1" xfId="0" applyFont="1" applyFill="1" applyBorder="1" applyAlignment="1">
      <alignment vertical="top" wrapText="1"/>
    </xf>
    <xf numFmtId="0" fontId="15" fillId="0" borderId="1" xfId="0" applyFont="1" applyBorder="1"/>
    <xf numFmtId="0" fontId="14" fillId="0" borderId="0" xfId="0" applyFont="1"/>
    <xf numFmtId="0" fontId="15" fillId="0" borderId="0" xfId="0" applyFont="1"/>
    <xf numFmtId="0" fontId="14" fillId="5" borderId="0" xfId="0" applyFont="1" applyFill="1"/>
    <xf numFmtId="0" fontId="14" fillId="0" borderId="0" xfId="0" applyFont="1" applyBorder="1" applyAlignment="1">
      <alignment vertical="top" wrapText="1"/>
    </xf>
    <xf numFmtId="0" fontId="14" fillId="0" borderId="14" xfId="0" applyFont="1" applyBorder="1"/>
    <xf numFmtId="0" fontId="14" fillId="3" borderId="0" xfId="0" applyFont="1" applyFill="1"/>
    <xf numFmtId="0" fontId="14" fillId="0" borderId="0" xfId="0" applyFont="1" applyFill="1"/>
    <xf numFmtId="0" fontId="14" fillId="0" borderId="12" xfId="0" applyFont="1" applyBorder="1"/>
    <xf numFmtId="0" fontId="16" fillId="8" borderId="13" xfId="2" applyFont="1" applyFill="1" applyBorder="1" applyAlignment="1">
      <alignment horizontal="center" vertical="center"/>
    </xf>
    <xf numFmtId="0" fontId="16" fillId="8" borderId="1" xfId="2" applyFont="1" applyFill="1" applyBorder="1" applyAlignment="1">
      <alignment horizontal="center" vertical="center"/>
    </xf>
    <xf numFmtId="0" fontId="16" fillId="8" borderId="10" xfId="2" applyFont="1" applyFill="1" applyBorder="1" applyAlignment="1">
      <alignment horizontal="center" vertical="center"/>
    </xf>
    <xf numFmtId="0" fontId="14" fillId="2" borderId="13" xfId="1" applyFont="1" applyBorder="1" applyAlignment="1">
      <alignment horizontal="center" vertical="center"/>
    </xf>
    <xf numFmtId="0" fontId="14" fillId="0" borderId="6" xfId="0" applyFont="1" applyBorder="1"/>
    <xf numFmtId="0" fontId="14" fillId="3" borderId="1" xfId="0" applyFont="1" applyFill="1" applyBorder="1"/>
    <xf numFmtId="0" fontId="14" fillId="0" borderId="11" xfId="0" applyFont="1" applyBorder="1"/>
    <xf numFmtId="0" fontId="14" fillId="0" borderId="11" xfId="0" applyFont="1" applyFill="1" applyBorder="1"/>
    <xf numFmtId="0" fontId="14" fillId="5" borderId="1" xfId="0" applyFont="1" applyFill="1" applyBorder="1"/>
    <xf numFmtId="0" fontId="14" fillId="0" borderId="11" xfId="0" applyFont="1" applyFill="1" applyBorder="1" applyAlignment="1">
      <alignment horizontal="center" vertical="center"/>
    </xf>
    <xf numFmtId="0" fontId="14" fillId="5" borderId="11" xfId="0" applyFont="1" applyFill="1" applyBorder="1"/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Fill="1" applyBorder="1" applyAlignment="1"/>
    <xf numFmtId="0" fontId="14" fillId="5" borderId="4" xfId="0" applyFont="1" applyFill="1" applyBorder="1" applyAlignment="1">
      <alignment horizontal="center" vertical="center"/>
    </xf>
    <xf numFmtId="0" fontId="14" fillId="0" borderId="4" xfId="0" applyFont="1" applyBorder="1"/>
    <xf numFmtId="0" fontId="14" fillId="3" borderId="4" xfId="0" applyFont="1" applyFill="1" applyBorder="1"/>
    <xf numFmtId="0" fontId="14" fillId="0" borderId="4" xfId="0" applyFont="1" applyFill="1" applyBorder="1" applyAlignment="1">
      <alignment horizontal="center" vertical="center"/>
    </xf>
    <xf numFmtId="0" fontId="14" fillId="0" borderId="4" xfId="0" applyFont="1" applyFill="1" applyBorder="1"/>
    <xf numFmtId="0" fontId="14" fillId="3" borderId="11" xfId="0" applyFont="1" applyFill="1" applyBorder="1"/>
    <xf numFmtId="0" fontId="14" fillId="5" borderId="11" xfId="0" applyFont="1" applyFill="1" applyBorder="1" applyAlignment="1">
      <alignment horizontal="center" vertical="center"/>
    </xf>
    <xf numFmtId="0" fontId="14" fillId="0" borderId="0" xfId="0" applyFont="1" applyBorder="1"/>
    <xf numFmtId="0" fontId="14" fillId="0" borderId="6" xfId="0" applyFont="1" applyFill="1" applyBorder="1"/>
    <xf numFmtId="0" fontId="14" fillId="0" borderId="0" xfId="0" applyFont="1" applyFill="1" applyBorder="1"/>
    <xf numFmtId="0" fontId="16" fillId="8" borderId="13" xfId="2" applyFont="1" applyFill="1" applyBorder="1" applyAlignment="1"/>
    <xf numFmtId="0" fontId="16" fillId="8" borderId="10" xfId="2" applyFont="1" applyFill="1" applyBorder="1" applyAlignment="1"/>
    <xf numFmtId="0" fontId="16" fillId="8" borderId="8" xfId="2" applyFont="1" applyFill="1" applyBorder="1" applyAlignment="1">
      <alignment horizontal="center" vertical="center"/>
    </xf>
    <xf numFmtId="0" fontId="16" fillId="8" borderId="9" xfId="2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2" xfId="0" applyFont="1" applyFill="1" applyBorder="1"/>
    <xf numFmtId="0" fontId="14" fillId="0" borderId="13" xfId="0" applyFont="1" applyFill="1" applyBorder="1"/>
    <xf numFmtId="0" fontId="14" fillId="0" borderId="1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6" borderId="11" xfId="0" applyFont="1" applyFill="1" applyBorder="1"/>
    <xf numFmtId="14" fontId="14" fillId="0" borderId="1" xfId="0" applyNumberFormat="1" applyFont="1" applyFill="1" applyBorder="1" applyAlignment="1">
      <alignment horizontal="center" vertical="center"/>
    </xf>
    <xf numFmtId="0" fontId="14" fillId="0" borderId="12" xfId="0" applyFont="1" applyFill="1" applyBorder="1"/>
    <xf numFmtId="0" fontId="14" fillId="0" borderId="6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9" xfId="0" applyFont="1" applyBorder="1"/>
    <xf numFmtId="0" fontId="14" fillId="0" borderId="0" xfId="0" applyFont="1" applyAlignment="1">
      <alignment horizontal="center" vertical="center"/>
    </xf>
    <xf numFmtId="0" fontId="14" fillId="2" borderId="10" xfId="1" applyFont="1" applyBorder="1" applyAlignment="1">
      <alignment horizontal="center" vertical="center"/>
    </xf>
    <xf numFmtId="0" fontId="14" fillId="0" borderId="1" xfId="1" applyFont="1" applyFill="1" applyBorder="1" applyAlignment="1">
      <alignment horizontal="center" vertical="center"/>
    </xf>
    <xf numFmtId="0" fontId="15" fillId="5" borderId="1" xfId="0" applyFont="1" applyFill="1" applyBorder="1"/>
    <xf numFmtId="0" fontId="14" fillId="3" borderId="1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0" borderId="13" xfId="0" applyFont="1" applyBorder="1"/>
    <xf numFmtId="0" fontId="14" fillId="0" borderId="11" xfId="1" applyFont="1" applyFill="1" applyBorder="1" applyAlignment="1">
      <alignment horizontal="center" vertical="center"/>
    </xf>
    <xf numFmtId="0" fontId="15" fillId="5" borderId="11" xfId="0" applyFont="1" applyFill="1" applyBorder="1"/>
    <xf numFmtId="0" fontId="14" fillId="0" borderId="16" xfId="0" applyFont="1" applyFill="1" applyBorder="1"/>
    <xf numFmtId="0" fontId="14" fillId="0" borderId="27" xfId="0" applyFont="1" applyBorder="1"/>
    <xf numFmtId="0" fontId="0" fillId="6" borderId="1" xfId="0" applyFill="1" applyBorder="1" applyAlignment="1">
      <alignment horizontal="center" vertical="center"/>
    </xf>
    <xf numFmtId="0" fontId="14" fillId="5" borderId="11" xfId="0" applyFont="1" applyFill="1" applyBorder="1" applyAlignment="1"/>
    <xf numFmtId="0" fontId="14" fillId="6" borderId="0" xfId="0" applyFont="1" applyFill="1"/>
    <xf numFmtId="0" fontId="14" fillId="6" borderId="1" xfId="0" applyFont="1" applyFill="1" applyBorder="1"/>
    <xf numFmtId="0" fontId="16" fillId="8" borderId="5" xfId="2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horizontal="center" vertical="center" wrapText="1"/>
    </xf>
    <xf numFmtId="0" fontId="0" fillId="15" borderId="0" xfId="0" applyFill="1"/>
    <xf numFmtId="0" fontId="0" fillId="12" borderId="0" xfId="0" applyFill="1"/>
    <xf numFmtId="0" fontId="0" fillId="12" borderId="1" xfId="0" applyFill="1" applyBorder="1"/>
    <xf numFmtId="0" fontId="0" fillId="12" borderId="1" xfId="0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left" vertical="top" wrapText="1"/>
    </xf>
    <xf numFmtId="49" fontId="14" fillId="1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/>
    </xf>
    <xf numFmtId="0" fontId="2" fillId="5" borderId="1" xfId="0" applyFont="1" applyFill="1" applyBorder="1" applyAlignment="1"/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9" fillId="12" borderId="1" xfId="0" applyFont="1" applyFill="1" applyBorder="1"/>
    <xf numFmtId="0" fontId="9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11" fillId="12" borderId="1" xfId="4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12" borderId="1" xfId="0" applyFont="1" applyFill="1" applyBorder="1" applyAlignment="1" applyProtection="1">
      <alignment horizontal="center" vertical="center" wrapText="1"/>
      <protection locked="0"/>
    </xf>
    <xf numFmtId="0" fontId="6" fillId="12" borderId="4" xfId="0" applyFont="1" applyFill="1" applyBorder="1" applyAlignment="1" applyProtection="1">
      <alignment horizontal="center" vertical="center" wrapText="1"/>
      <protection locked="0"/>
    </xf>
    <xf numFmtId="0" fontId="14" fillId="12" borderId="4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Fill="1" applyBorder="1"/>
    <xf numFmtId="0" fontId="0" fillId="0" borderId="1" xfId="0" applyFill="1" applyBorder="1"/>
    <xf numFmtId="0" fontId="14" fillId="12" borderId="1" xfId="0" applyFont="1" applyFill="1" applyBorder="1"/>
    <xf numFmtId="0" fontId="14" fillId="12" borderId="4" xfId="0" applyFont="1" applyFill="1" applyBorder="1"/>
    <xf numFmtId="1" fontId="6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8" fillId="12" borderId="1" xfId="0" applyFont="1" applyFill="1" applyBorder="1" applyAlignment="1">
      <alignment horizontal="center" vertical="center"/>
    </xf>
    <xf numFmtId="49" fontId="6" fillId="12" borderId="11" xfId="0" applyNumberFormat="1" applyFont="1" applyFill="1" applyBorder="1" applyAlignment="1" applyProtection="1">
      <alignment horizontal="center" vertical="center" wrapText="1"/>
      <protection locked="0"/>
    </xf>
    <xf numFmtId="0" fontId="14" fillId="12" borderId="11" xfId="0" applyFont="1" applyFill="1" applyBorder="1"/>
    <xf numFmtId="0" fontId="14" fillId="12" borderId="11" xfId="0" applyFont="1" applyFill="1" applyBorder="1" applyAlignment="1">
      <alignment vertical="center"/>
    </xf>
    <xf numFmtId="0" fontId="6" fillId="12" borderId="11" xfId="0" applyFont="1" applyFill="1" applyBorder="1" applyAlignment="1" applyProtection="1">
      <alignment horizontal="center" vertical="center" wrapText="1"/>
      <protection locked="0"/>
    </xf>
    <xf numFmtId="0" fontId="7" fillId="12" borderId="1" xfId="0" applyFont="1" applyFill="1" applyBorder="1" applyAlignment="1">
      <alignment horizontal="center"/>
    </xf>
    <xf numFmtId="0" fontId="7" fillId="12" borderId="4" xfId="0" applyFont="1" applyFill="1" applyBorder="1" applyAlignment="1">
      <alignment horizontal="center"/>
    </xf>
    <xf numFmtId="0" fontId="14" fillId="12" borderId="25" xfId="0" applyFont="1" applyFill="1" applyBorder="1"/>
    <xf numFmtId="0" fontId="14" fillId="12" borderId="16" xfId="0" applyFont="1" applyFill="1" applyBorder="1"/>
    <xf numFmtId="0" fontId="14" fillId="12" borderId="28" xfId="0" applyFont="1" applyFill="1" applyBorder="1"/>
    <xf numFmtId="0" fontId="7" fillId="12" borderId="11" xfId="0" applyFont="1" applyFill="1" applyBorder="1" applyAlignment="1">
      <alignment horizontal="center"/>
    </xf>
    <xf numFmtId="0" fontId="14" fillId="12" borderId="29" xfId="0" applyFont="1" applyFill="1" applyBorder="1"/>
    <xf numFmtId="0" fontId="0" fillId="12" borderId="4" xfId="0" applyFill="1" applyBorder="1"/>
    <xf numFmtId="49" fontId="6" fillId="16" borderId="11" xfId="0" applyNumberFormat="1" applyFont="1" applyFill="1" applyBorder="1" applyAlignment="1" applyProtection="1">
      <alignment horizontal="center" vertical="center" wrapText="1"/>
      <protection locked="0"/>
    </xf>
    <xf numFmtId="49" fontId="6" fillId="16" borderId="1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16" xfId="0" applyFont="1" applyBorder="1"/>
    <xf numFmtId="0" fontId="14" fillId="0" borderId="29" xfId="0" applyFont="1" applyBorder="1"/>
    <xf numFmtId="0" fontId="14" fillId="0" borderId="28" xfId="0" applyFont="1" applyBorder="1"/>
    <xf numFmtId="0" fontId="0" fillId="0" borderId="1" xfId="0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14" fillId="0" borderId="30" xfId="0" applyFont="1" applyBorder="1"/>
    <xf numFmtId="0" fontId="0" fillId="0" borderId="30" xfId="0" applyBorder="1"/>
    <xf numFmtId="0" fontId="14" fillId="12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vertical="center"/>
    </xf>
    <xf numFmtId="0" fontId="18" fillId="12" borderId="27" xfId="0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2" xfId="2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0" fillId="0" borderId="1" xfId="0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8" fillId="1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14" fillId="0" borderId="31" xfId="0" applyFont="1" applyBorder="1"/>
    <xf numFmtId="0" fontId="0" fillId="0" borderId="11" xfId="0" applyBorder="1" applyAlignment="1">
      <alignment horizontal="center" vertical="center"/>
    </xf>
    <xf numFmtId="0" fontId="0" fillId="0" borderId="13" xfId="0" applyFill="1" applyBorder="1"/>
    <xf numFmtId="0" fontId="14" fillId="0" borderId="23" xfId="0" applyFont="1" applyFill="1" applyBorder="1"/>
    <xf numFmtId="0" fontId="14" fillId="0" borderId="1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1" fontId="14" fillId="5" borderId="11" xfId="0" applyNumberFormat="1" applyFont="1" applyFill="1" applyBorder="1"/>
    <xf numFmtId="1" fontId="14" fillId="5" borderId="1" xfId="0" applyNumberFormat="1" applyFont="1" applyFill="1" applyBorder="1"/>
    <xf numFmtId="0" fontId="14" fillId="0" borderId="4" xfId="0" applyFont="1" applyBorder="1" applyAlignment="1">
      <alignment horizontal="center"/>
    </xf>
    <xf numFmtId="0" fontId="14" fillId="5" borderId="4" xfId="0" applyFont="1" applyFill="1" applyBorder="1"/>
    <xf numFmtId="0" fontId="0" fillId="17" borderId="1" xfId="0" applyFill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14" fillId="5" borderId="5" xfId="0" applyFont="1" applyFill="1" applyBorder="1"/>
    <xf numFmtId="0" fontId="14" fillId="0" borderId="4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vertical="center"/>
    </xf>
    <xf numFmtId="0" fontId="14" fillId="0" borderId="4" xfId="0" applyFont="1" applyFill="1" applyBorder="1" applyAlignment="1">
      <alignment vertical="center"/>
    </xf>
    <xf numFmtId="0" fontId="14" fillId="0" borderId="11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12" borderId="20" xfId="3" applyFont="1" applyFill="1" applyBorder="1" applyAlignment="1">
      <alignment vertical="center"/>
    </xf>
    <xf numFmtId="0" fontId="14" fillId="12" borderId="9" xfId="3" applyFont="1" applyFill="1" applyBorder="1" applyAlignment="1">
      <alignment vertical="center"/>
    </xf>
    <xf numFmtId="0" fontId="14" fillId="2" borderId="8" xfId="1" applyFont="1" applyBorder="1" applyAlignment="1">
      <alignment horizontal="center" vertical="center"/>
    </xf>
    <xf numFmtId="0" fontId="19" fillId="5" borderId="1" xfId="0" applyFont="1" applyFill="1" applyBorder="1"/>
    <xf numFmtId="0" fontId="14" fillId="12" borderId="20" xfId="3" applyFont="1" applyFill="1" applyBorder="1" applyAlignment="1"/>
    <xf numFmtId="49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top" wrapText="1"/>
    </xf>
    <xf numFmtId="0" fontId="14" fillId="0" borderId="13" xfId="0" applyFont="1" applyFill="1" applyBorder="1" applyAlignment="1">
      <alignment horizontal="left" vertical="top" wrapText="1"/>
    </xf>
    <xf numFmtId="49" fontId="6" fillId="16" borderId="4" xfId="0" applyNumberFormat="1" applyFont="1" applyFill="1" applyBorder="1" applyAlignment="1" applyProtection="1">
      <alignment horizontal="center" vertical="center" wrapText="1"/>
      <protection locked="0"/>
    </xf>
    <xf numFmtId="49" fontId="14" fillId="0" borderId="1" xfId="0" applyNumberFormat="1" applyFont="1" applyFill="1" applyBorder="1"/>
    <xf numFmtId="49" fontId="14" fillId="0" borderId="1" xfId="0" applyNumberFormat="1" applyFont="1" applyFill="1" applyBorder="1" applyAlignment="1">
      <alignment horizontal="left" vertical="top" wrapText="1"/>
    </xf>
    <xf numFmtId="49" fontId="14" fillId="0" borderId="0" xfId="0" applyNumberFormat="1" applyFont="1"/>
    <xf numFmtId="49" fontId="16" fillId="8" borderId="10" xfId="2" applyNumberFormat="1" applyFont="1" applyFill="1" applyBorder="1" applyAlignment="1">
      <alignment horizontal="center" vertical="center"/>
    </xf>
    <xf numFmtId="49" fontId="14" fillId="0" borderId="6" xfId="0" applyNumberFormat="1" applyFont="1" applyBorder="1"/>
    <xf numFmtId="49" fontId="14" fillId="0" borderId="1" xfId="0" applyNumberFormat="1" applyFont="1" applyBorder="1"/>
    <xf numFmtId="49" fontId="14" fillId="0" borderId="4" xfId="0" applyNumberFormat="1" applyFont="1" applyBorder="1"/>
    <xf numFmtId="0" fontId="14" fillId="0" borderId="1" xfId="0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vertical="top" wrapText="1"/>
    </xf>
    <xf numFmtId="49" fontId="14" fillId="0" borderId="4" xfId="0" applyNumberFormat="1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left" vertical="top" wrapText="1"/>
    </xf>
    <xf numFmtId="0" fontId="14" fillId="0" borderId="27" xfId="0" applyFont="1" applyFill="1" applyBorder="1" applyAlignment="1">
      <alignment horizontal="center" vertical="top" wrapText="1"/>
    </xf>
    <xf numFmtId="0" fontId="14" fillId="0" borderId="4" xfId="0" applyFont="1" applyFill="1" applyBorder="1" applyAlignment="1">
      <alignment horizontal="center" vertical="top" wrapText="1"/>
    </xf>
    <xf numFmtId="0" fontId="14" fillId="12" borderId="1" xfId="0" applyFont="1" applyFill="1" applyBorder="1" applyAlignment="1">
      <alignment horizontal="center" vertical="top" wrapText="1"/>
    </xf>
    <xf numFmtId="0" fontId="14" fillId="12" borderId="6" xfId="0" applyFont="1" applyFill="1" applyBorder="1"/>
    <xf numFmtId="0" fontId="13" fillId="12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5" fillId="6" borderId="1" xfId="0" applyFont="1" applyFill="1" applyBorder="1"/>
    <xf numFmtId="0" fontId="14" fillId="6" borderId="1" xfId="0" applyFont="1" applyFill="1" applyBorder="1" applyAlignment="1">
      <alignment horizontal="center" vertical="center"/>
    </xf>
    <xf numFmtId="0" fontId="14" fillId="6" borderId="4" xfId="0" applyFont="1" applyFill="1" applyBorder="1"/>
    <xf numFmtId="0" fontId="0" fillId="0" borderId="1" xfId="0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12" borderId="3" xfId="3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center"/>
    </xf>
    <xf numFmtId="0" fontId="0" fillId="19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5" borderId="1" xfId="5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vertical="center" wrapText="1"/>
    </xf>
    <xf numFmtId="0" fontId="0" fillId="19" borderId="0" xfId="0" applyFill="1"/>
    <xf numFmtId="0" fontId="0" fillId="5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left" vertical="top" wrapText="1"/>
    </xf>
    <xf numFmtId="0" fontId="21" fillId="19" borderId="0" xfId="0" applyFont="1" applyFill="1"/>
    <xf numFmtId="0" fontId="14" fillId="19" borderId="1" xfId="0" applyFont="1" applyFill="1" applyBorder="1" applyAlignment="1">
      <alignment horizontal="center" vertical="center" wrapText="1"/>
    </xf>
    <xf numFmtId="1" fontId="6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5" borderId="4" xfId="0" applyFill="1" applyBorder="1" applyAlignment="1">
      <alignment horizontal="center" vertical="center"/>
    </xf>
    <xf numFmtId="0" fontId="8" fillId="12" borderId="11" xfId="0" applyFont="1" applyFill="1" applyBorder="1" applyAlignment="1">
      <alignment vertical="center"/>
    </xf>
    <xf numFmtId="0" fontId="0" fillId="12" borderId="11" xfId="0" applyFill="1" applyBorder="1" applyAlignment="1">
      <alignment horizontal="center"/>
    </xf>
    <xf numFmtId="0" fontId="14" fillId="12" borderId="11" xfId="0" applyFont="1" applyFill="1" applyBorder="1" applyAlignment="1">
      <alignment horizontal="left" vertical="top" wrapText="1"/>
    </xf>
    <xf numFmtId="1" fontId="6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>
      <alignment vertical="center"/>
    </xf>
    <xf numFmtId="0" fontId="0" fillId="12" borderId="4" xfId="0" applyFill="1" applyBorder="1" applyAlignment="1">
      <alignment horizontal="center"/>
    </xf>
    <xf numFmtId="0" fontId="14" fillId="12" borderId="4" xfId="0" applyFont="1" applyFill="1" applyBorder="1" applyAlignment="1">
      <alignment horizontal="left" vertical="top" wrapText="1"/>
    </xf>
    <xf numFmtId="0" fontId="14" fillId="0" borderId="5" xfId="0" applyFont="1" applyFill="1" applyBorder="1"/>
    <xf numFmtId="0" fontId="0" fillId="6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center" vertical="center" wrapText="1"/>
    </xf>
    <xf numFmtId="0" fontId="0" fillId="20" borderId="0" xfId="0" applyFill="1"/>
    <xf numFmtId="0" fontId="13" fillId="20" borderId="1" xfId="5" applyFont="1" applyFill="1" applyBorder="1" applyAlignment="1">
      <alignment horizontal="center" vertical="center"/>
    </xf>
    <xf numFmtId="0" fontId="24" fillId="20" borderId="1" xfId="5" applyFont="1" applyFill="1" applyBorder="1" applyAlignment="1">
      <alignment horizontal="center" vertical="center"/>
    </xf>
    <xf numFmtId="0" fontId="24" fillId="0" borderId="1" xfId="5" applyFont="1" applyFill="1" applyBorder="1" applyAlignment="1">
      <alignment horizontal="center" vertical="center"/>
    </xf>
    <xf numFmtId="0" fontId="13" fillId="12" borderId="1" xfId="5" applyFont="1" applyFill="1" applyBorder="1" applyAlignment="1">
      <alignment horizontal="center" vertical="center"/>
    </xf>
    <xf numFmtId="0" fontId="13" fillId="0" borderId="1" xfId="5" applyFont="1" applyFill="1" applyBorder="1" applyAlignment="1">
      <alignment horizontal="center" vertical="center"/>
    </xf>
    <xf numFmtId="0" fontId="15" fillId="9" borderId="0" xfId="0" applyFont="1" applyFill="1" applyBorder="1"/>
    <xf numFmtId="0" fontId="0" fillId="9" borderId="0" xfId="0" applyFill="1" applyBorder="1"/>
    <xf numFmtId="0" fontId="0" fillId="9" borderId="0" xfId="0" applyFill="1"/>
    <xf numFmtId="0" fontId="2" fillId="9" borderId="36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9" fillId="9" borderId="0" xfId="0" applyFont="1" applyFill="1" applyBorder="1" applyAlignment="1"/>
    <xf numFmtId="0" fontId="9" fillId="9" borderId="0" xfId="0" applyFont="1" applyFill="1" applyBorder="1"/>
    <xf numFmtId="0" fontId="0" fillId="0" borderId="0" xfId="0" applyAlignment="1">
      <alignment horizontal="center" vertical="center"/>
    </xf>
    <xf numFmtId="0" fontId="0" fillId="9" borderId="1" xfId="0" applyFill="1" applyBorder="1"/>
    <xf numFmtId="0" fontId="0" fillId="21" borderId="1" xfId="0" applyFill="1" applyBorder="1" applyAlignment="1">
      <alignment horizontal="center" vertical="center"/>
    </xf>
    <xf numFmtId="0" fontId="0" fillId="9" borderId="0" xfId="0" applyFill="1" applyBorder="1" applyAlignment="1">
      <alignment vertical="center"/>
    </xf>
    <xf numFmtId="0" fontId="2" fillId="9" borderId="25" xfId="0" applyFont="1" applyFill="1" applyBorder="1" applyAlignment="1">
      <alignment horizontal="center" vertical="center"/>
    </xf>
    <xf numFmtId="0" fontId="22" fillId="5" borderId="21" xfId="0" applyFont="1" applyFill="1" applyBorder="1" applyAlignment="1">
      <alignment horizontal="center" vertical="center"/>
    </xf>
    <xf numFmtId="0" fontId="22" fillId="5" borderId="37" xfId="0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center" vertical="center"/>
    </xf>
    <xf numFmtId="0" fontId="22" fillId="5" borderId="17" xfId="0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/>
    </xf>
    <xf numFmtId="0" fontId="25" fillId="9" borderId="0" xfId="0" applyFont="1" applyFill="1"/>
    <xf numFmtId="0" fontId="0" fillId="9" borderId="0" xfId="0" applyFill="1" applyAlignment="1">
      <alignment vertical="top" wrapText="1"/>
    </xf>
    <xf numFmtId="0" fontId="0" fillId="9" borderId="0" xfId="0" applyFill="1" applyAlignment="1">
      <alignment vertical="top"/>
    </xf>
    <xf numFmtId="0" fontId="0" fillId="9" borderId="0" xfId="0" applyFill="1" applyAlignment="1"/>
    <xf numFmtId="0" fontId="3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left" vertical="top"/>
    </xf>
    <xf numFmtId="0" fontId="0" fillId="4" borderId="1" xfId="0" applyFill="1" applyBorder="1" applyAlignment="1">
      <alignment horizontal="left" vertical="top" wrapText="1"/>
    </xf>
    <xf numFmtId="0" fontId="0" fillId="9" borderId="0" xfId="0" applyFill="1" applyAlignment="1">
      <alignment horizontal="center" vertical="center"/>
    </xf>
    <xf numFmtId="0" fontId="25" fillId="23" borderId="38" xfId="7" applyFont="1" applyBorder="1" applyAlignment="1">
      <alignment horizontal="center" vertical="center" wrapText="1"/>
    </xf>
    <xf numFmtId="0" fontId="25" fillId="23" borderId="39" xfId="7" applyFont="1" applyBorder="1" applyAlignment="1">
      <alignment horizontal="center" vertical="center" wrapText="1"/>
    </xf>
    <xf numFmtId="0" fontId="25" fillId="23" borderId="32" xfId="7" applyFont="1" applyBorder="1" applyAlignment="1">
      <alignment horizontal="center" vertical="center" wrapText="1"/>
    </xf>
    <xf numFmtId="0" fontId="25" fillId="23" borderId="14" xfId="7" applyFont="1" applyBorder="1" applyAlignment="1">
      <alignment horizontal="center" vertical="center" wrapText="1"/>
    </xf>
    <xf numFmtId="0" fontId="25" fillId="23" borderId="31" xfId="7" applyFont="1" applyBorder="1" applyAlignment="1">
      <alignment horizontal="center" vertical="center" wrapText="1"/>
    </xf>
    <xf numFmtId="0" fontId="25" fillId="23" borderId="40" xfId="7" applyFont="1" applyBorder="1" applyAlignment="1">
      <alignment horizontal="center" vertical="center" wrapText="1"/>
    </xf>
    <xf numFmtId="0" fontId="25" fillId="23" borderId="38" xfId="7" applyFont="1" applyBorder="1" applyAlignment="1">
      <alignment horizontal="center" vertical="center"/>
    </xf>
    <xf numFmtId="0" fontId="25" fillId="23" borderId="39" xfId="7" applyFont="1" applyBorder="1" applyAlignment="1">
      <alignment horizontal="center" vertical="center"/>
    </xf>
    <xf numFmtId="0" fontId="25" fillId="23" borderId="32" xfId="7" applyFont="1" applyBorder="1" applyAlignment="1">
      <alignment horizontal="center" vertical="center"/>
    </xf>
    <xf numFmtId="0" fontId="25" fillId="23" borderId="14" xfId="7" applyFont="1" applyBorder="1" applyAlignment="1">
      <alignment horizontal="center" vertical="center"/>
    </xf>
    <xf numFmtId="0" fontId="25" fillId="23" borderId="31" xfId="7" applyFont="1" applyBorder="1" applyAlignment="1">
      <alignment horizontal="center" vertical="center"/>
    </xf>
    <xf numFmtId="0" fontId="25" fillId="23" borderId="40" xfId="7" applyFont="1" applyBorder="1" applyAlignment="1">
      <alignment horizontal="center" vertical="center"/>
    </xf>
    <xf numFmtId="0" fontId="0" fillId="9" borderId="1" xfId="0" applyFill="1" applyBorder="1" applyAlignment="1">
      <alignment horizontal="left"/>
    </xf>
    <xf numFmtId="0" fontId="0" fillId="9" borderId="16" xfId="0" applyFill="1" applyBorder="1" applyAlignment="1">
      <alignment horizontal="left" vertical="center"/>
    </xf>
    <xf numFmtId="0" fontId="0" fillId="9" borderId="27" xfId="0" applyFill="1" applyBorder="1" applyAlignment="1">
      <alignment horizontal="left" vertical="center"/>
    </xf>
    <xf numFmtId="0" fontId="0" fillId="5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4" fillId="7" borderId="11" xfId="0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0" fontId="14" fillId="12" borderId="2" xfId="3" applyFont="1" applyFill="1" applyBorder="1" applyAlignment="1">
      <alignment horizontal="center" vertical="center"/>
    </xf>
    <xf numFmtId="0" fontId="14" fillId="12" borderId="0" xfId="3" applyFont="1" applyFill="1" applyBorder="1" applyAlignment="1">
      <alignment horizontal="center" vertical="center"/>
    </xf>
    <xf numFmtId="0" fontId="14" fillId="12" borderId="3" xfId="3" applyFont="1" applyFill="1" applyBorder="1" applyAlignment="1">
      <alignment horizontal="center" vertical="center"/>
    </xf>
    <xf numFmtId="0" fontId="14" fillId="12" borderId="22" xfId="3" applyFont="1" applyFill="1" applyBorder="1" applyAlignment="1">
      <alignment horizontal="center" vertical="center"/>
    </xf>
    <xf numFmtId="0" fontId="14" fillId="12" borderId="13" xfId="3" applyFont="1" applyFill="1" applyBorder="1" applyAlignment="1">
      <alignment horizontal="center" vertical="center"/>
    </xf>
    <xf numFmtId="0" fontId="14" fillId="12" borderId="15" xfId="3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top"/>
    </xf>
    <xf numFmtId="0" fontId="15" fillId="11" borderId="0" xfId="0" applyFont="1" applyFill="1" applyBorder="1" applyAlignment="1">
      <alignment horizontal="center" vertical="top"/>
    </xf>
    <xf numFmtId="0" fontId="14" fillId="0" borderId="0" xfId="0" applyFont="1" applyFill="1" applyBorder="1" applyAlignment="1">
      <alignment horizontal="center"/>
    </xf>
    <xf numFmtId="0" fontId="15" fillId="11" borderId="1" xfId="0" applyFont="1" applyFill="1" applyBorder="1" applyAlignment="1">
      <alignment horizontal="center" vertical="top"/>
    </xf>
    <xf numFmtId="0" fontId="14" fillId="12" borderId="22" xfId="3" applyFont="1" applyFill="1" applyBorder="1" applyAlignment="1">
      <alignment horizontal="center"/>
    </xf>
    <xf numFmtId="0" fontId="14" fillId="12" borderId="13" xfId="3" applyFont="1" applyFill="1" applyBorder="1" applyAlignment="1">
      <alignment horizontal="center"/>
    </xf>
    <xf numFmtId="0" fontId="14" fillId="12" borderId="15" xfId="3" applyFont="1" applyFill="1" applyBorder="1" applyAlignment="1">
      <alignment horizontal="center"/>
    </xf>
    <xf numFmtId="0" fontId="15" fillId="11" borderId="32" xfId="0" applyFont="1" applyFill="1" applyBorder="1" applyAlignment="1">
      <alignment horizontal="center" vertical="top"/>
    </xf>
    <xf numFmtId="0" fontId="14" fillId="12" borderId="11" xfId="3" applyFont="1" applyFill="1" applyBorder="1" applyAlignment="1">
      <alignment horizontal="center"/>
    </xf>
    <xf numFmtId="0" fontId="15" fillId="11" borderId="12" xfId="0" applyFont="1" applyFill="1" applyBorder="1" applyAlignment="1">
      <alignment horizontal="center" vertical="top"/>
    </xf>
    <xf numFmtId="0" fontId="15" fillId="11" borderId="6" xfId="0" applyFont="1" applyFill="1" applyBorder="1" applyAlignment="1">
      <alignment horizontal="center" vertical="top"/>
    </xf>
    <xf numFmtId="0" fontId="15" fillId="11" borderId="21" xfId="0" applyFont="1" applyFill="1" applyBorder="1" applyAlignment="1">
      <alignment horizontal="center" vertical="top"/>
    </xf>
    <xf numFmtId="0" fontId="14" fillId="0" borderId="18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19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0" borderId="10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8" xfId="0" applyFont="1" applyFill="1" applyBorder="1" applyAlignment="1">
      <alignment horizontal="center" vertical="center"/>
    </xf>
    <xf numFmtId="0" fontId="15" fillId="11" borderId="22" xfId="0" applyFont="1" applyFill="1" applyBorder="1" applyAlignment="1">
      <alignment horizontal="center" vertical="top"/>
    </xf>
    <xf numFmtId="0" fontId="15" fillId="11" borderId="13" xfId="0" applyFont="1" applyFill="1" applyBorder="1" applyAlignment="1">
      <alignment horizontal="center" vertical="top"/>
    </xf>
    <xf numFmtId="0" fontId="15" fillId="11" borderId="23" xfId="0" applyFont="1" applyFill="1" applyBorder="1" applyAlignment="1">
      <alignment horizontal="center" vertical="top"/>
    </xf>
    <xf numFmtId="0" fontId="14" fillId="2" borderId="9" xfId="1" applyFont="1" applyBorder="1" applyAlignment="1">
      <alignment horizontal="center"/>
    </xf>
    <xf numFmtId="0" fontId="14" fillId="2" borderId="9" xfId="1" applyFont="1" applyBorder="1" applyAlignment="1">
      <alignment horizontal="center" vertical="center"/>
    </xf>
    <xf numFmtId="0" fontId="14" fillId="2" borderId="24" xfId="1" applyFont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3" fillId="9" borderId="0" xfId="0" applyFont="1" applyFill="1"/>
    <xf numFmtId="0" fontId="24" fillId="9" borderId="0" xfId="0" applyFont="1" applyFill="1"/>
    <xf numFmtId="0" fontId="27" fillId="9" borderId="0" xfId="0" applyFont="1" applyFill="1"/>
    <xf numFmtId="0" fontId="13" fillId="9" borderId="0" xfId="8" applyFont="1" applyFill="1" applyBorder="1" applyAlignment="1">
      <alignment horizontal="center" vertical="center"/>
    </xf>
    <xf numFmtId="0" fontId="13" fillId="9" borderId="0" xfId="1" applyFont="1" applyFill="1" applyBorder="1" applyAlignment="1">
      <alignment horizontal="center" vertical="center"/>
    </xf>
    <xf numFmtId="0" fontId="28" fillId="9" borderId="33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center" vertical="center"/>
    </xf>
    <xf numFmtId="0" fontId="29" fillId="9" borderId="34" xfId="0" applyFont="1" applyFill="1" applyBorder="1" applyAlignment="1">
      <alignment vertical="center" wrapText="1"/>
    </xf>
    <xf numFmtId="0" fontId="29" fillId="9" borderId="0" xfId="0" applyFont="1" applyFill="1" applyBorder="1" applyAlignment="1">
      <alignment vertical="center" wrapText="1"/>
    </xf>
    <xf numFmtId="0" fontId="30" fillId="9" borderId="34" xfId="0" applyFont="1" applyFill="1" applyBorder="1" applyAlignment="1">
      <alignment horizontal="center" vertical="center" wrapText="1"/>
    </xf>
    <xf numFmtId="0" fontId="30" fillId="9" borderId="42" xfId="0" applyFont="1" applyFill="1" applyBorder="1" applyAlignment="1">
      <alignment horizontal="center" vertical="center" wrapText="1"/>
    </xf>
    <xf numFmtId="0" fontId="27" fillId="9" borderId="34" xfId="0" applyFont="1" applyFill="1" applyBorder="1" applyAlignment="1">
      <alignment horizontal="center" vertical="center"/>
    </xf>
    <xf numFmtId="0" fontId="28" fillId="9" borderId="33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26" xfId="0" applyFont="1" applyFill="1" applyBorder="1" applyAlignment="1">
      <alignment horizontal="center" vertical="center"/>
    </xf>
    <xf numFmtId="0" fontId="29" fillId="9" borderId="17" xfId="0" applyFont="1" applyFill="1" applyBorder="1" applyAlignment="1">
      <alignment vertical="center" wrapText="1"/>
    </xf>
    <xf numFmtId="0" fontId="1" fillId="25" borderId="41" xfId="9" applyBorder="1" applyAlignment="1">
      <alignment horizontal="center" vertical="center"/>
    </xf>
    <xf numFmtId="0" fontId="1" fillId="25" borderId="14" xfId="9" applyBorder="1" applyAlignment="1">
      <alignment horizontal="center" vertical="center"/>
    </xf>
    <xf numFmtId="0" fontId="26" fillId="24" borderId="22" xfId="8" applyBorder="1" applyAlignment="1">
      <alignment horizontal="center" vertical="center"/>
    </xf>
    <xf numFmtId="0" fontId="26" fillId="24" borderId="13" xfId="8" applyBorder="1" applyAlignment="1">
      <alignment horizontal="center" vertical="center"/>
    </xf>
    <xf numFmtId="0" fontId="26" fillId="24" borderId="15" xfId="8" applyBorder="1" applyAlignment="1">
      <alignment horizontal="center" vertical="center"/>
    </xf>
    <xf numFmtId="0" fontId="1" fillId="2" borderId="41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26" fillId="24" borderId="12" xfId="8" applyBorder="1" applyAlignment="1">
      <alignment horizontal="center" vertical="center"/>
    </xf>
    <xf numFmtId="0" fontId="26" fillId="24" borderId="6" xfId="8" applyBorder="1" applyAlignment="1">
      <alignment horizontal="center" vertical="center"/>
    </xf>
    <xf numFmtId="0" fontId="26" fillId="24" borderId="21" xfId="8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13" fillId="26" borderId="1" xfId="0" applyFont="1" applyFill="1" applyBorder="1" applyAlignment="1">
      <alignment horizontal="center" vertical="center"/>
    </xf>
    <xf numFmtId="0" fontId="31" fillId="9" borderId="17" xfId="0" applyFont="1" applyFill="1" applyBorder="1" applyAlignment="1">
      <alignment horizontal="center" vertical="center"/>
    </xf>
  </cellXfs>
  <cellStyles count="10">
    <cellStyle name="20% - Accent1" xfId="3" builtinId="30"/>
    <cellStyle name="40% - Accent1" xfId="1" builtinId="31"/>
    <cellStyle name="40% - Accent3" xfId="7" builtinId="39"/>
    <cellStyle name="60% - Accent1" xfId="6" builtinId="32"/>
    <cellStyle name="60% - Accent5" xfId="9" builtinId="48"/>
    <cellStyle name="Accent1" xfId="8" builtinId="29"/>
    <cellStyle name="Hyperlink" xfId="4" builtinId="8"/>
    <cellStyle name="Normal" xfId="0" builtinId="0"/>
    <cellStyle name="Normal 13 2" xfId="5" xr:uid="{FC7BA4E2-FBDB-4388-BB5F-568FDF77DB2F}"/>
    <cellStyle name="Normal_Data Fills v2.5" xfId="2" xr:uid="{5C8182D0-1B4B-453E-A6AE-2DBE9C60C4C5}"/>
  </cellStyles>
  <dxfs count="32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388620</xdr:colOff>
          <xdr:row>7</xdr:row>
          <xdr:rowOff>15240</xdr:rowOff>
        </xdr:from>
        <xdr:to>
          <xdr:col>9</xdr:col>
          <xdr:colOff>2476500</xdr:colOff>
          <xdr:row>7</xdr:row>
          <xdr:rowOff>358140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1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all Tabs as per given UPF MG Groups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8</xdr:row>
          <xdr:rowOff>68580</xdr:rowOff>
        </xdr:from>
        <xdr:to>
          <xdr:col>9</xdr:col>
          <xdr:colOff>2484120</xdr:colOff>
          <xdr:row>9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1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all Tabs as per given CPF MG Groups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9</xdr:row>
          <xdr:rowOff>121920</xdr:rowOff>
        </xdr:from>
        <xdr:to>
          <xdr:col>9</xdr:col>
          <xdr:colOff>2453640</xdr:colOff>
          <xdr:row>10</xdr:row>
          <xdr:rowOff>22860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1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all Tabs as per given SPGW MG Groups (only if Deployment type is Non-CUPS)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388620</xdr:colOff>
          <xdr:row>3</xdr:row>
          <xdr:rowOff>99060</xdr:rowOff>
        </xdr:from>
        <xdr:to>
          <xdr:col>4</xdr:col>
          <xdr:colOff>449580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Node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4</xdr:row>
          <xdr:rowOff>0</xdr:rowOff>
        </xdr:from>
        <xdr:to>
          <xdr:col>5</xdr:col>
          <xdr:colOff>441960</xdr:colOff>
          <xdr:row>5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Card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3</xdr:row>
          <xdr:rowOff>121920</xdr:rowOff>
        </xdr:from>
        <xdr:to>
          <xdr:col>5</xdr:col>
          <xdr:colOff>327660</xdr:colOff>
          <xdr:row>5</xdr:row>
          <xdr:rowOff>99060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3</xdr:row>
          <xdr:rowOff>175260</xdr:rowOff>
        </xdr:from>
        <xdr:to>
          <xdr:col>5</xdr:col>
          <xdr:colOff>441960</xdr:colOff>
          <xdr:row>5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User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3</xdr:row>
          <xdr:rowOff>152400</xdr:rowOff>
        </xdr:from>
        <xdr:to>
          <xdr:col>6</xdr:col>
          <xdr:colOff>502920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3</xdr:row>
          <xdr:rowOff>137160</xdr:rowOff>
        </xdr:from>
        <xdr:to>
          <xdr:col>5</xdr:col>
          <xdr:colOff>480060</xdr:colOff>
          <xdr:row>5</xdr:row>
          <xdr:rowOff>99060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KPI Log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525780</xdr:colOff>
          <xdr:row>3</xdr:row>
          <xdr:rowOff>106680</xdr:rowOff>
        </xdr:from>
        <xdr:to>
          <xdr:col>6</xdr:col>
          <xdr:colOff>83820</xdr:colOff>
          <xdr:row>5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MG Node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3</xdr:row>
          <xdr:rowOff>137160</xdr:rowOff>
        </xdr:from>
        <xdr:to>
          <xdr:col>4</xdr:col>
          <xdr:colOff>2202180</xdr:colOff>
          <xdr:row>4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Diameter peer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3</xdr:row>
          <xdr:rowOff>175260</xdr:rowOff>
        </xdr:from>
        <xdr:to>
          <xdr:col>4</xdr:col>
          <xdr:colOff>571500</xdr:colOff>
          <xdr:row>5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Radius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1470660</xdr:colOff>
          <xdr:row>3</xdr:row>
          <xdr:rowOff>99060</xdr:rowOff>
        </xdr:from>
        <xdr:to>
          <xdr:col>5</xdr:col>
          <xdr:colOff>45720</xdr:colOff>
          <xdr:row>5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Charging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3</xdr:row>
          <xdr:rowOff>160020</xdr:rowOff>
        </xdr:from>
        <xdr:to>
          <xdr:col>4</xdr:col>
          <xdr:colOff>800100</xdr:colOff>
          <xdr:row>5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Ga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670560</xdr:colOff>
          <xdr:row>3</xdr:row>
          <xdr:rowOff>106680</xdr:rowOff>
        </xdr:from>
        <xdr:to>
          <xdr:col>4</xdr:col>
          <xdr:colOff>556260</xdr:colOff>
          <xdr:row>5</xdr:row>
          <xdr:rowOff>22860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D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Sx Peer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1356360</xdr:colOff>
          <xdr:row>3</xdr:row>
          <xdr:rowOff>175260</xdr:rowOff>
        </xdr:from>
        <xdr:to>
          <xdr:col>3</xdr:col>
          <xdr:colOff>396240</xdr:colOff>
          <xdr:row>5</xdr:row>
          <xdr:rowOff>114300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E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APN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137160</xdr:rowOff>
        </xdr:from>
        <xdr:to>
          <xdr:col>6</xdr:col>
          <xdr:colOff>167640</xdr:colOff>
          <xdr:row>5</xdr:row>
          <xdr:rowOff>60960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F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MG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1630680</xdr:colOff>
          <xdr:row>3</xdr:row>
          <xdr:rowOff>137160</xdr:rowOff>
        </xdr:from>
        <xdr:to>
          <xdr:col>6</xdr:col>
          <xdr:colOff>708660</xdr:colOff>
          <xdr:row>5</xdr:row>
          <xdr:rowOff>60960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MG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1470660</xdr:colOff>
          <xdr:row>3</xdr:row>
          <xdr:rowOff>99060</xdr:rowOff>
        </xdr:from>
        <xdr:to>
          <xdr:col>7</xdr:col>
          <xdr:colOff>7620</xdr:colOff>
          <xdr:row>5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NAT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okia.sharepoint.com/Users/anamdev/Desktop/iGen_Working/Input/Unsynced%20Sheet%20and%20Config/CiQ/VIL_Ambala-CP+UP_CIQ_v0.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okia.sharepoint.com/Users/anamdev/Desktop/iGen_Working/Input/Unsynced%20Sheet%20and%20Config/IP%20Plan/VIL-Ambala-CMG-CP+UP-IP-Pl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 Version"/>
      <sheetName val="Node Info"/>
      <sheetName val="External Loopback IP pool"/>
      <sheetName val="System"/>
      <sheetName val="PLMN Details"/>
      <sheetName val="Online Charging"/>
      <sheetName val="Offline Charging"/>
      <sheetName val="PCRF"/>
      <sheetName val="CGNAT Collector"/>
      <sheetName val="LI"/>
      <sheetName val="APN"/>
      <sheetName val="IMS"/>
      <sheetName val="Infra IP Pool"/>
      <sheetName val="UE IP Pool"/>
      <sheetName val="NAT Public IP Pool"/>
      <sheetName val="SDP Public IP Pool"/>
      <sheetName val="CMG Config Ref and AA Config Re"/>
    </sheetNames>
    <sheetDataSet>
      <sheetData sheetId="0"/>
      <sheetData sheetId="1">
        <row r="5">
          <cell r="D5" t="str">
            <v>Ambala Haryana</v>
          </cell>
          <cell r="E5">
            <v>404</v>
          </cell>
          <cell r="F5">
            <v>12</v>
          </cell>
          <cell r="H5" t="str">
            <v>INVIHR11AMB1SAEC01NK</v>
          </cell>
          <cell r="I5" t="str">
            <v>INVIHR11AMB1SAEC01NK</v>
          </cell>
          <cell r="J5" t="str">
            <v>epc.mnc012.mcc404.3gppnetwork.org</v>
          </cell>
        </row>
        <row r="6">
          <cell r="D6" t="str">
            <v>Ambala Haryana</v>
          </cell>
          <cell r="H6" t="str">
            <v>INVIHR11AMB1SAEU01NK</v>
          </cell>
        </row>
      </sheetData>
      <sheetData sheetId="2"/>
      <sheetData sheetId="3">
        <row r="9">
          <cell r="F9" t="str">
            <v>30.3752, 76.7821</v>
          </cell>
        </row>
        <row r="12">
          <cell r="F12" t="str">
            <v xml:space="preserve">10.95.59.130
</v>
          </cell>
        </row>
        <row r="13">
          <cell r="F13" t="str">
            <v>10.95.59.131</v>
          </cell>
        </row>
        <row r="14">
          <cell r="F14"/>
        </row>
        <row r="15">
          <cell r="F15"/>
        </row>
        <row r="18">
          <cell r="F18" t="str">
            <v xml:space="preserve">192.168.130.1 </v>
          </cell>
        </row>
        <row r="19">
          <cell r="F19" t="str">
            <v>192.168.130.2</v>
          </cell>
        </row>
      </sheetData>
      <sheetData sheetId="4"/>
      <sheetData sheetId="5">
        <row r="6">
          <cell r="E6" t="str">
            <v>siemens.com</v>
          </cell>
        </row>
        <row r="8">
          <cell r="E8" t="str">
            <v>172.19.210.120</v>
          </cell>
        </row>
        <row r="12">
          <cell r="E12" t="str">
            <v>drsiemens.com</v>
          </cell>
        </row>
        <row r="14">
          <cell r="E14" t="str">
            <v>10.245.9.120</v>
          </cell>
        </row>
      </sheetData>
      <sheetData sheetId="6">
        <row r="4">
          <cell r="E4" t="str">
            <v>10.95.58.71</v>
          </cell>
          <cell r="F4" t="str">
            <v>10.95.58.72</v>
          </cell>
        </row>
        <row r="5">
          <cell r="E5"/>
          <cell r="F5"/>
        </row>
        <row r="9">
          <cell r="E9" t="str">
            <v>10.95.58.69</v>
          </cell>
          <cell r="F9" t="str">
            <v>10.95.58.70</v>
          </cell>
        </row>
        <row r="10">
          <cell r="E10"/>
          <cell r="F10"/>
        </row>
      </sheetData>
      <sheetData sheetId="7">
        <row r="7">
          <cell r="E7" t="str">
            <v>epc.mnc001.mcc404.3gppnetwork.org</v>
          </cell>
        </row>
        <row r="8">
          <cell r="E8" t="str">
            <v>10.95.67.164</v>
          </cell>
        </row>
        <row r="12">
          <cell r="E12"/>
        </row>
        <row r="13">
          <cell r="E13"/>
        </row>
      </sheetData>
      <sheetData sheetId="8">
        <row r="4">
          <cell r="F4" t="str">
            <v>10.95.67.134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 log"/>
      <sheetName val="External Interfaces"/>
      <sheetName val="CP -BASE-GRT"/>
      <sheetName val="UP -BASE-GRT"/>
      <sheetName val="CP -LI"/>
      <sheetName val="UP -LI"/>
      <sheetName val="CP-SIGNAL"/>
      <sheetName val="CP-BILLING"/>
      <sheetName val="CP -CORE"/>
      <sheetName val="UP -CORE"/>
      <sheetName val="UP -INTERNET"/>
      <sheetName val="UP -IMS"/>
      <sheetName val="NAT_13XX_INSIDE VPRN"/>
      <sheetName val="UP-VPRN400"/>
      <sheetName val="UP-VPRN500"/>
      <sheetName val="UP-VPRN600"/>
      <sheetName val="UP-VPRN700"/>
      <sheetName val="NAT-13XX_redirect-VPRN"/>
      <sheetName val="NAT-14XX_redirect-VPRN"/>
      <sheetName val="IPv6 NEW POOL INFRA"/>
      <sheetName val="IPV4 NEW POOL INFRA"/>
    </sheetNames>
    <sheetDataSet>
      <sheetData sheetId="0"/>
      <sheetData sheetId="1">
        <row r="7">
          <cell r="G7" t="str">
            <v>10.95.67.193/32</v>
          </cell>
          <cell r="L7" t="str">
            <v>10.95.67.194/32</v>
          </cell>
        </row>
        <row r="8">
          <cell r="G8" t="str">
            <v>10.95.67.200/32</v>
          </cell>
          <cell r="H8" t="str">
            <v>2402:8100:12::107/128</v>
          </cell>
          <cell r="L8" t="str">
            <v>10.95.67.203/32</v>
          </cell>
          <cell r="M8" t="str">
            <v>2402:8100:12::10c/128</v>
          </cell>
        </row>
        <row r="9">
          <cell r="G9" t="str">
            <v>10.95.67.195/32</v>
          </cell>
          <cell r="H9" t="str">
            <v>2402:8100:12::102/128</v>
          </cell>
          <cell r="L9" t="str">
            <v>10.95.67.204/32</v>
          </cell>
          <cell r="M9" t="str">
            <v>2402:8100:12::10d/128</v>
          </cell>
        </row>
        <row r="10">
          <cell r="G10" t="str">
            <v>10.95.67.196/32</v>
          </cell>
          <cell r="H10" t="str">
            <v>2402:8100:12::103/128</v>
          </cell>
          <cell r="L10" t="str">
            <v>203.88.25.3/32</v>
          </cell>
          <cell r="M10" t="str">
            <v>2402:8100:12::10e/128</v>
          </cell>
        </row>
        <row r="11">
          <cell r="G11" t="str">
            <v>10.95.67.197/32</v>
          </cell>
          <cell r="H11" t="str">
            <v>2402:8100:12::104/128</v>
          </cell>
          <cell r="L11" t="str">
            <v>203.88.25.4/32</v>
          </cell>
          <cell r="M11" t="str">
            <v>2402:8100:12::10f/128</v>
          </cell>
        </row>
        <row r="12">
          <cell r="G12" t="str">
            <v>10.95.67.198/32</v>
          </cell>
          <cell r="H12" t="str">
            <v>2402:8100:12::105/128</v>
          </cell>
          <cell r="L12" t="str">
            <v>203.88.25.5/32</v>
          </cell>
          <cell r="M12" t="str">
            <v>2402:8100:12::110/128</v>
          </cell>
        </row>
        <row r="13">
          <cell r="G13" t="str">
            <v>10.95.67.199/32</v>
          </cell>
          <cell r="H13" t="str">
            <v>2402:8100:12::106/128</v>
          </cell>
          <cell r="L13" t="str">
            <v>203.88.25.6/32</v>
          </cell>
          <cell r="M13" t="str">
            <v>2402:8100:12::111/128</v>
          </cell>
        </row>
        <row r="14">
          <cell r="G14" t="str">
            <v>203.88.25.2/32</v>
          </cell>
          <cell r="H14" t="str">
            <v>2402:8100:12::108/128</v>
          </cell>
        </row>
        <row r="15">
          <cell r="G15" t="str">
            <v>203.88.25.0/32</v>
          </cell>
          <cell r="H15" t="str">
            <v>2402:8100:12::10a/128</v>
          </cell>
          <cell r="L15"/>
          <cell r="M15"/>
        </row>
        <row r="16">
          <cell r="G16" t="str">
            <v>203.88.25.1/32</v>
          </cell>
          <cell r="H16" t="str">
            <v>2402:8100:12::109/128</v>
          </cell>
          <cell r="L16"/>
          <cell r="M16"/>
        </row>
        <row r="17">
          <cell r="G17" t="str">
            <v>10.95.67.202/32</v>
          </cell>
          <cell r="H17" t="str">
            <v>2402:8100:12::10b/128</v>
          </cell>
          <cell r="L17"/>
          <cell r="M17"/>
        </row>
        <row r="18">
          <cell r="L18"/>
          <cell r="M18"/>
        </row>
        <row r="19">
          <cell r="L19" t="str">
            <v>203.88.25.7/32</v>
          </cell>
          <cell r="M19" t="str">
            <v>2402:8100:12::117/128</v>
          </cell>
        </row>
        <row r="20">
          <cell r="L20" t="str">
            <v>203.88.25.8/32</v>
          </cell>
          <cell r="M20" t="str">
            <v>2402:8100:12::118/128</v>
          </cell>
        </row>
        <row r="21">
          <cell r="L21" t="str">
            <v>203.88.25.9/32</v>
          </cell>
          <cell r="M21" t="str">
            <v>2402:8100:12::119/128</v>
          </cell>
        </row>
        <row r="22">
          <cell r="L22" t="str">
            <v>203.88.25.10/32</v>
          </cell>
          <cell r="M22" t="str">
            <v>2402:8100:12::11a/128</v>
          </cell>
        </row>
        <row r="24">
          <cell r="L24"/>
          <cell r="M24"/>
        </row>
        <row r="25">
          <cell r="L25"/>
          <cell r="M25"/>
        </row>
        <row r="26">
          <cell r="L26"/>
          <cell r="M26"/>
        </row>
        <row r="27">
          <cell r="L27"/>
          <cell r="M27"/>
        </row>
        <row r="53">
          <cell r="F53" t="str">
            <v>112.79.92.0</v>
          </cell>
          <cell r="G53" t="str">
            <v>112.79.92.255</v>
          </cell>
          <cell r="H53" t="str">
            <v>10.8.0.0/16</v>
          </cell>
          <cell r="I53" t="str">
            <v>2402:3a80:13be::/47</v>
          </cell>
          <cell r="J53" t="str">
            <v>2402:3a80:1fff:3f::/96</v>
          </cell>
          <cell r="K53" t="str">
            <v>2402:3a80:1fff:3f::aa8:5d00/120</v>
          </cell>
          <cell r="L53" t="str">
            <v>2402:3a80:1fff:3f::aa8:5c00/121</v>
          </cell>
        </row>
        <row r="54">
          <cell r="F54" t="str">
            <v>1.38.136.152</v>
          </cell>
          <cell r="G54" t="str">
            <v>1.38.136.152</v>
          </cell>
        </row>
        <row r="55">
          <cell r="F55" t="str">
            <v>112.79.82.0</v>
          </cell>
          <cell r="G55" t="str">
            <v>112.79.83.255</v>
          </cell>
          <cell r="H55" t="str">
            <v>10.9.0.0/16</v>
          </cell>
          <cell r="I55" t="str">
            <v>2402:3a80:13a2::/47</v>
          </cell>
        </row>
        <row r="56">
          <cell r="F56" t="str">
            <v>1.38.136.152</v>
          </cell>
          <cell r="G56" t="str">
            <v>1.38.136.152</v>
          </cell>
        </row>
        <row r="57">
          <cell r="F57" t="str">
            <v>112.79.84.0</v>
          </cell>
          <cell r="G57" t="str">
            <v>112.79.85.255</v>
          </cell>
          <cell r="H57" t="str">
            <v>10.10.0.0/16</v>
          </cell>
          <cell r="I57" t="str">
            <v>2402:3a80:13a4::/47</v>
          </cell>
        </row>
        <row r="58">
          <cell r="F58" t="str">
            <v>1.38.136.152</v>
          </cell>
          <cell r="G58" t="str">
            <v>1.38.136.152</v>
          </cell>
        </row>
        <row r="59">
          <cell r="F59" t="str">
            <v>112.79.86.0</v>
          </cell>
          <cell r="G59" t="str">
            <v>112.79.87.255</v>
          </cell>
          <cell r="H59" t="str">
            <v>10.11.0.0/16</v>
          </cell>
          <cell r="I59" t="str">
            <v>2402:3a80:13a6::/47</v>
          </cell>
        </row>
        <row r="60">
          <cell r="F60" t="str">
            <v>1.38.136.152</v>
          </cell>
          <cell r="G60" t="str">
            <v>1.38.136.152</v>
          </cell>
        </row>
        <row r="63">
          <cell r="H63" t="str">
            <v>10.13.0.0/16</v>
          </cell>
          <cell r="I63" t="str">
            <v>2402:3a80:13aa::/47</v>
          </cell>
        </row>
      </sheetData>
      <sheetData sheetId="2">
        <row r="7">
          <cell r="H7">
            <v>1101</v>
          </cell>
        </row>
        <row r="8">
          <cell r="H8">
            <v>1111</v>
          </cell>
        </row>
        <row r="9">
          <cell r="H9">
            <v>1121</v>
          </cell>
        </row>
        <row r="10">
          <cell r="H10">
            <v>1131</v>
          </cell>
        </row>
      </sheetData>
      <sheetData sheetId="3">
        <row r="7">
          <cell r="H7">
            <v>1109</v>
          </cell>
        </row>
        <row r="8">
          <cell r="H8">
            <v>1119</v>
          </cell>
        </row>
        <row r="9">
          <cell r="H9">
            <v>1129</v>
          </cell>
        </row>
        <row r="10">
          <cell r="H10">
            <v>1139</v>
          </cell>
        </row>
      </sheetData>
      <sheetData sheetId="4">
        <row r="7">
          <cell r="H7">
            <v>1104</v>
          </cell>
        </row>
        <row r="8">
          <cell r="H8">
            <v>1114</v>
          </cell>
        </row>
        <row r="9">
          <cell r="H9">
            <v>1124</v>
          </cell>
        </row>
        <row r="10">
          <cell r="H10">
            <v>1134</v>
          </cell>
        </row>
      </sheetData>
      <sheetData sheetId="5">
        <row r="7">
          <cell r="H7">
            <v>1110</v>
          </cell>
        </row>
        <row r="8">
          <cell r="H8">
            <v>1120</v>
          </cell>
        </row>
        <row r="9">
          <cell r="H9">
            <v>1130</v>
          </cell>
        </row>
        <row r="10">
          <cell r="H10">
            <v>1140</v>
          </cell>
        </row>
      </sheetData>
      <sheetData sheetId="6">
        <row r="7">
          <cell r="H7">
            <v>1102</v>
          </cell>
        </row>
        <row r="8">
          <cell r="H8">
            <v>1112</v>
          </cell>
        </row>
        <row r="9">
          <cell r="H9">
            <v>1122</v>
          </cell>
        </row>
        <row r="10">
          <cell r="H10">
            <v>1132</v>
          </cell>
        </row>
      </sheetData>
      <sheetData sheetId="7">
        <row r="7">
          <cell r="H7">
            <v>1103</v>
          </cell>
        </row>
        <row r="8">
          <cell r="H8">
            <v>1113</v>
          </cell>
        </row>
        <row r="9">
          <cell r="H9">
            <v>1123</v>
          </cell>
        </row>
        <row r="10">
          <cell r="H10">
            <v>1133</v>
          </cell>
        </row>
      </sheetData>
      <sheetData sheetId="8">
        <row r="7">
          <cell r="I7">
            <v>1105</v>
          </cell>
        </row>
        <row r="8">
          <cell r="I8">
            <v>1115</v>
          </cell>
        </row>
        <row r="9">
          <cell r="I9">
            <v>1125</v>
          </cell>
        </row>
        <row r="10">
          <cell r="I10">
            <v>1135</v>
          </cell>
        </row>
      </sheetData>
      <sheetData sheetId="9">
        <row r="7">
          <cell r="I7">
            <v>1106</v>
          </cell>
        </row>
        <row r="8">
          <cell r="I8">
            <v>1116</v>
          </cell>
        </row>
        <row r="9">
          <cell r="I9">
            <v>1126</v>
          </cell>
        </row>
        <row r="10">
          <cell r="I10">
            <v>1136</v>
          </cell>
        </row>
        <row r="16">
          <cell r="I16">
            <v>1106</v>
          </cell>
        </row>
        <row r="17">
          <cell r="I17">
            <v>1116</v>
          </cell>
        </row>
        <row r="18">
          <cell r="I18">
            <v>1126</v>
          </cell>
        </row>
        <row r="19">
          <cell r="I19">
            <v>1136</v>
          </cell>
        </row>
      </sheetData>
      <sheetData sheetId="10">
        <row r="7">
          <cell r="I7">
            <v>1107</v>
          </cell>
        </row>
        <row r="8">
          <cell r="I8">
            <v>1117</v>
          </cell>
        </row>
        <row r="9">
          <cell r="I9">
            <v>1127</v>
          </cell>
        </row>
        <row r="10">
          <cell r="I10">
            <v>1137</v>
          </cell>
        </row>
        <row r="11">
          <cell r="K11" t="str">
            <v>10.95.67.205/32</v>
          </cell>
        </row>
      </sheetData>
      <sheetData sheetId="11">
        <row r="7">
          <cell r="I7">
            <v>1108</v>
          </cell>
        </row>
        <row r="8">
          <cell r="I8">
            <v>1118</v>
          </cell>
        </row>
        <row r="9">
          <cell r="I9">
            <v>1128</v>
          </cell>
        </row>
        <row r="10">
          <cell r="I10">
            <v>1138</v>
          </cell>
        </row>
        <row r="11">
          <cell r="K11" t="str">
            <v>10.95.67.206/32</v>
          </cell>
        </row>
      </sheetData>
      <sheetData sheetId="12">
        <row r="4">
          <cell r="K4">
            <v>1500</v>
          </cell>
        </row>
        <row r="5">
          <cell r="K5">
            <v>1510</v>
          </cell>
        </row>
        <row r="6">
          <cell r="K6">
            <v>1520</v>
          </cell>
        </row>
        <row r="7">
          <cell r="K7">
            <v>1530</v>
          </cell>
        </row>
      </sheetData>
      <sheetData sheetId="13"/>
      <sheetData sheetId="14"/>
      <sheetData sheetId="15"/>
      <sheetData sheetId="16"/>
      <sheetData sheetId="17">
        <row r="44">
          <cell r="I44">
            <v>1300</v>
          </cell>
        </row>
        <row r="45">
          <cell r="I45">
            <v>1310</v>
          </cell>
        </row>
        <row r="46">
          <cell r="I46">
            <v>1320</v>
          </cell>
        </row>
        <row r="47">
          <cell r="I47">
            <v>1330</v>
          </cell>
        </row>
      </sheetData>
      <sheetData sheetId="18">
        <row r="44">
          <cell r="I44">
            <v>1400</v>
          </cell>
        </row>
        <row r="45">
          <cell r="I45">
            <v>1410</v>
          </cell>
        </row>
        <row r="46">
          <cell r="I46">
            <v>1420</v>
          </cell>
        </row>
        <row r="47">
          <cell r="I47">
            <v>1430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32251@3gpp.org" TargetMode="External"/><Relationship Id="rId1" Type="http://schemas.openxmlformats.org/officeDocument/2006/relationships/hyperlink" Target="mailto:32251@3gpp.org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5E7D6-C7C3-45E2-A8AA-E531FBE28947}">
  <sheetPr codeName="Sheet1"/>
  <dimension ref="A2:BD21"/>
  <sheetViews>
    <sheetView topLeftCell="AH1" workbookViewId="0">
      <selection activeCell="BC1" sqref="BC1:BC1048576"/>
    </sheetView>
  </sheetViews>
  <sheetFormatPr defaultRowHeight="14.4"/>
  <cols>
    <col min="1" max="1" width="19.5546875" customWidth="1"/>
    <col min="2" max="2" width="30.6640625" customWidth="1"/>
    <col min="3" max="3" width="13.6640625" customWidth="1"/>
    <col min="13" max="14" width="9.33203125" customWidth="1"/>
    <col min="55" max="55" width="8.88671875" style="307"/>
  </cols>
  <sheetData>
    <row r="2" spans="1:56">
      <c r="A2" s="1" t="s">
        <v>417</v>
      </c>
      <c r="B2" s="2" t="s">
        <v>418</v>
      </c>
      <c r="BA2" t="s">
        <v>1417</v>
      </c>
      <c r="BB2">
        <v>1</v>
      </c>
      <c r="BC2" s="307">
        <v>1</v>
      </c>
      <c r="BD2" t="s">
        <v>1436</v>
      </c>
    </row>
    <row r="3" spans="1:56">
      <c r="A3" s="1" t="s">
        <v>419</v>
      </c>
      <c r="B3" s="2" t="s">
        <v>594</v>
      </c>
      <c r="BA3" t="s">
        <v>1418</v>
      </c>
      <c r="BB3">
        <v>2</v>
      </c>
      <c r="BC3" s="307">
        <v>2</v>
      </c>
      <c r="BD3" t="s">
        <v>1437</v>
      </c>
    </row>
    <row r="4" spans="1:56">
      <c r="A4" s="1" t="s">
        <v>0</v>
      </c>
      <c r="B4" s="3"/>
      <c r="BB4">
        <v>3</v>
      </c>
      <c r="BC4" s="307">
        <v>3</v>
      </c>
    </row>
    <row r="5" spans="1:56">
      <c r="A5" s="1" t="s">
        <v>1</v>
      </c>
      <c r="B5" s="2" t="s">
        <v>1427</v>
      </c>
      <c r="BB5">
        <v>4</v>
      </c>
      <c r="BC5" s="307">
        <v>4</v>
      </c>
    </row>
    <row r="6" spans="1:56">
      <c r="BB6">
        <v>5</v>
      </c>
      <c r="BC6" s="307">
        <v>5</v>
      </c>
    </row>
    <row r="7" spans="1:56">
      <c r="BB7">
        <v>6</v>
      </c>
      <c r="BC7" s="307">
        <v>6</v>
      </c>
    </row>
    <row r="8" spans="1:56" ht="21">
      <c r="A8" s="322" t="s">
        <v>2</v>
      </c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322"/>
      <c r="BB8">
        <v>7</v>
      </c>
      <c r="BC8" s="307">
        <v>7</v>
      </c>
    </row>
    <row r="9" spans="1:56" ht="19.5" customHeight="1">
      <c r="A9" s="4">
        <v>1</v>
      </c>
      <c r="B9" s="323" t="s">
        <v>3</v>
      </c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BB9">
        <v>8</v>
      </c>
      <c r="BC9" s="307">
        <v>8</v>
      </c>
    </row>
    <row r="10" spans="1:56" ht="20.25" customHeight="1">
      <c r="A10" s="4">
        <v>2</v>
      </c>
      <c r="B10" s="323" t="s">
        <v>4</v>
      </c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BB10">
        <v>9</v>
      </c>
      <c r="BC10" s="307">
        <v>9</v>
      </c>
    </row>
    <row r="11" spans="1:56" ht="81.75" customHeight="1">
      <c r="A11" s="4">
        <v>3</v>
      </c>
      <c r="B11" s="324" t="s">
        <v>5</v>
      </c>
      <c r="C11" s="323"/>
      <c r="D11" s="323"/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BB11" t="s">
        <v>36</v>
      </c>
      <c r="BC11" s="307">
        <v>10</v>
      </c>
    </row>
    <row r="12" spans="1:56">
      <c r="BC12" s="307">
        <v>11</v>
      </c>
    </row>
    <row r="13" spans="1:56">
      <c r="BC13" s="307">
        <v>12</v>
      </c>
    </row>
    <row r="14" spans="1:56">
      <c r="BC14" s="307">
        <v>13</v>
      </c>
    </row>
    <row r="15" spans="1:56">
      <c r="BC15" s="307">
        <v>14</v>
      </c>
    </row>
    <row r="16" spans="1:56">
      <c r="BC16" s="307">
        <v>15</v>
      </c>
    </row>
    <row r="17" spans="55:55">
      <c r="BC17" s="307">
        <v>16</v>
      </c>
    </row>
    <row r="18" spans="55:55">
      <c r="BC18" s="307">
        <v>17</v>
      </c>
    </row>
    <row r="19" spans="55:55">
      <c r="BC19" s="307">
        <v>18</v>
      </c>
    </row>
    <row r="20" spans="55:55">
      <c r="BC20" s="307">
        <v>19</v>
      </c>
    </row>
    <row r="21" spans="55:55">
      <c r="BC21" s="307">
        <v>20</v>
      </c>
    </row>
  </sheetData>
  <mergeCells count="4">
    <mergeCell ref="A8:N8"/>
    <mergeCell ref="B9:N9"/>
    <mergeCell ref="B10:N10"/>
    <mergeCell ref="B11:N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9035E-4D16-4D78-BD72-19969089F3CF}">
  <sheetPr codeName="Sheet30"/>
  <dimension ref="A1:AD125"/>
  <sheetViews>
    <sheetView tabSelected="1" topLeftCell="A10" zoomScale="90" zoomScaleNormal="90" workbookViewId="0">
      <selection activeCell="H47" sqref="H47"/>
    </sheetView>
  </sheetViews>
  <sheetFormatPr defaultRowHeight="14.4"/>
  <cols>
    <col min="1" max="1" width="3.109375" style="300" customWidth="1"/>
    <col min="2" max="5" width="8.88671875" style="300"/>
    <col min="6" max="6" width="61.6640625" style="300" customWidth="1"/>
    <col min="7" max="7" width="15.77734375" style="300" bestFit="1" customWidth="1"/>
    <col min="8" max="9" width="8.88671875" style="300"/>
    <col min="10" max="10" width="71.33203125" style="300" bestFit="1" customWidth="1"/>
    <col min="11" max="13" width="8.88671875" style="300"/>
    <col min="14" max="14" width="3.88671875" style="300" customWidth="1"/>
    <col min="15" max="18" width="8.88671875" style="300"/>
    <col min="19" max="19" width="2.6640625" style="300" customWidth="1"/>
    <col min="20" max="16384" width="8.88671875" style="300"/>
  </cols>
  <sheetData>
    <row r="1" spans="1:30">
      <c r="A1" s="5" t="s">
        <v>6</v>
      </c>
      <c r="B1" s="341" t="s">
        <v>14</v>
      </c>
      <c r="C1" s="341"/>
      <c r="E1" s="298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</row>
    <row r="2" spans="1:30">
      <c r="A2" s="5" t="s">
        <v>6</v>
      </c>
      <c r="B2" s="342" t="s">
        <v>15</v>
      </c>
      <c r="C2" s="342"/>
      <c r="E2" s="298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</row>
    <row r="3" spans="1:30">
      <c r="A3" s="5" t="s">
        <v>6</v>
      </c>
      <c r="B3" s="343" t="s">
        <v>16</v>
      </c>
      <c r="C3" s="343"/>
      <c r="E3" s="298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</row>
    <row r="4" spans="1:30">
      <c r="A4" s="300" t="s">
        <v>6</v>
      </c>
      <c r="E4" s="298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</row>
    <row r="5" spans="1:30">
      <c r="A5" s="300" t="s">
        <v>6</v>
      </c>
      <c r="B5" s="299"/>
      <c r="C5" s="299"/>
      <c r="D5" s="299"/>
      <c r="E5" s="298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</row>
    <row r="6" spans="1:30" ht="15" thickBot="1">
      <c r="A6" s="300" t="s">
        <v>6</v>
      </c>
      <c r="B6" s="299"/>
      <c r="C6" s="299"/>
      <c r="D6" s="299"/>
      <c r="E6" s="298"/>
      <c r="F6" s="299"/>
      <c r="G6" s="299"/>
      <c r="H6" s="299"/>
      <c r="I6" s="299"/>
      <c r="J6" s="305" t="s">
        <v>1430</v>
      </c>
      <c r="K6" s="305"/>
      <c r="L6" s="305"/>
      <c r="M6" s="305"/>
      <c r="N6" s="306"/>
      <c r="O6" s="306"/>
      <c r="P6" s="306"/>
      <c r="Q6" s="306"/>
      <c r="R6" s="306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</row>
    <row r="7" spans="1:30" ht="15" thickBot="1">
      <c r="A7" s="300" t="s">
        <v>6</v>
      </c>
      <c r="B7" s="299"/>
      <c r="C7" s="310"/>
      <c r="D7" s="310"/>
      <c r="E7" s="299"/>
      <c r="F7" s="311" t="s">
        <v>1416</v>
      </c>
      <c r="G7" s="312" t="s">
        <v>1417</v>
      </c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299"/>
      <c r="W7" s="299"/>
      <c r="X7" s="299"/>
      <c r="Y7" s="299"/>
      <c r="Z7" s="299"/>
      <c r="AA7" s="299"/>
      <c r="AB7" s="299"/>
      <c r="AC7" s="299"/>
      <c r="AD7" s="299"/>
    </row>
    <row r="8" spans="1:30" ht="28.8" customHeight="1">
      <c r="A8" s="300" t="s">
        <v>6</v>
      </c>
      <c r="C8" s="332" t="s">
        <v>1532</v>
      </c>
      <c r="D8" s="333"/>
      <c r="F8" s="301" t="s">
        <v>1420</v>
      </c>
      <c r="G8" s="313">
        <v>3</v>
      </c>
      <c r="O8" s="325" t="s">
        <v>1435</v>
      </c>
      <c r="P8" s="325"/>
      <c r="Q8" s="325"/>
      <c r="R8" s="325"/>
    </row>
    <row r="9" spans="1:30" ht="31.2" customHeight="1">
      <c r="A9" s="300" t="s">
        <v>6</v>
      </c>
      <c r="C9" s="334"/>
      <c r="D9" s="335"/>
      <c r="F9" s="302" t="s">
        <v>1419</v>
      </c>
      <c r="G9" s="314">
        <v>2</v>
      </c>
      <c r="O9" s="325"/>
      <c r="P9" s="325"/>
      <c r="Q9" s="325"/>
      <c r="R9" s="325"/>
    </row>
    <row r="10" spans="1:30" ht="34.799999999999997" customHeight="1" thickBot="1">
      <c r="A10" s="300" t="s">
        <v>6</v>
      </c>
      <c r="C10" s="336"/>
      <c r="D10" s="337"/>
      <c r="F10" s="303" t="s">
        <v>1421</v>
      </c>
      <c r="G10" s="315" t="s">
        <v>36</v>
      </c>
    </row>
    <row r="11" spans="1:30" ht="18">
      <c r="A11" s="300" t="s">
        <v>6</v>
      </c>
      <c r="C11" s="318"/>
      <c r="D11" s="318"/>
    </row>
    <row r="12" spans="1:30" ht="9.6" customHeight="1" thickBot="1">
      <c r="A12" s="300" t="s">
        <v>6</v>
      </c>
      <c r="C12" s="318"/>
      <c r="D12" s="318"/>
    </row>
    <row r="13" spans="1:30">
      <c r="A13" s="300" t="s">
        <v>6</v>
      </c>
      <c r="C13" s="332" t="s">
        <v>1533</v>
      </c>
      <c r="D13" s="333"/>
      <c r="F13" s="9" t="s">
        <v>1515</v>
      </c>
      <c r="G13" s="309">
        <v>2</v>
      </c>
    </row>
    <row r="14" spans="1:30" ht="15" thickBot="1">
      <c r="A14" s="300" t="s">
        <v>6</v>
      </c>
      <c r="C14" s="336"/>
      <c r="D14" s="337"/>
      <c r="F14" s="9" t="s">
        <v>1516</v>
      </c>
      <c r="G14" s="309">
        <v>2</v>
      </c>
    </row>
    <row r="15" spans="1:30" ht="18">
      <c r="A15" s="300" t="s">
        <v>6</v>
      </c>
      <c r="C15" s="318"/>
      <c r="D15" s="318"/>
    </row>
    <row r="16" spans="1:30" ht="18.600000000000001" thickBot="1">
      <c r="A16" s="300" t="s">
        <v>6</v>
      </c>
      <c r="C16" s="318"/>
      <c r="D16" s="318"/>
    </row>
    <row r="17" spans="1:10">
      <c r="A17" s="300" t="s">
        <v>6</v>
      </c>
      <c r="C17" s="332" t="s">
        <v>1531</v>
      </c>
      <c r="D17" s="333"/>
      <c r="F17" s="9" t="s">
        <v>1510</v>
      </c>
      <c r="G17" s="34">
        <v>5</v>
      </c>
      <c r="I17" s="338" t="s">
        <v>1546</v>
      </c>
      <c r="J17" s="338"/>
    </row>
    <row r="18" spans="1:10">
      <c r="A18" s="300" t="s">
        <v>6</v>
      </c>
      <c r="C18" s="334"/>
      <c r="D18" s="335"/>
      <c r="F18" s="9" t="s">
        <v>1511</v>
      </c>
      <c r="G18" s="34">
        <v>2</v>
      </c>
      <c r="I18" s="339" t="s">
        <v>1547</v>
      </c>
      <c r="J18" s="340"/>
    </row>
    <row r="19" spans="1:10">
      <c r="A19" s="300" t="s">
        <v>6</v>
      </c>
      <c r="C19" s="334"/>
      <c r="D19" s="335"/>
      <c r="F19" s="9" t="s">
        <v>1512</v>
      </c>
      <c r="G19" s="34">
        <v>3</v>
      </c>
      <c r="I19" s="339" t="s">
        <v>1545</v>
      </c>
      <c r="J19" s="340"/>
    </row>
    <row r="20" spans="1:10">
      <c r="A20" s="300" t="s">
        <v>6</v>
      </c>
      <c r="C20" s="334"/>
      <c r="D20" s="335"/>
      <c r="F20" s="9" t="s">
        <v>1513</v>
      </c>
      <c r="G20" s="309">
        <v>2</v>
      </c>
    </row>
    <row r="21" spans="1:10" ht="15" thickBot="1">
      <c r="A21" s="300" t="s">
        <v>6</v>
      </c>
      <c r="C21" s="336"/>
      <c r="D21" s="337"/>
      <c r="F21" s="9" t="s">
        <v>1514</v>
      </c>
      <c r="G21" s="309">
        <v>2</v>
      </c>
    </row>
    <row r="22" spans="1:10" ht="18">
      <c r="A22" s="300" t="s">
        <v>6</v>
      </c>
      <c r="C22" s="318"/>
      <c r="D22" s="318"/>
    </row>
    <row r="23" spans="1:10" ht="18.600000000000001" thickBot="1">
      <c r="A23" s="300" t="s">
        <v>6</v>
      </c>
      <c r="C23" s="318"/>
      <c r="D23" s="318"/>
    </row>
    <row r="24" spans="1:10">
      <c r="A24" s="300" t="s">
        <v>6</v>
      </c>
      <c r="C24" s="326" t="s">
        <v>1530</v>
      </c>
      <c r="D24" s="327"/>
      <c r="F24" s="308" t="s">
        <v>1431</v>
      </c>
      <c r="G24" s="34" t="s">
        <v>1436</v>
      </c>
    </row>
    <row r="25" spans="1:10">
      <c r="A25" s="300" t="s">
        <v>6</v>
      </c>
      <c r="C25" s="328"/>
      <c r="D25" s="329"/>
      <c r="F25" s="308" t="s">
        <v>1432</v>
      </c>
      <c r="G25" s="34">
        <v>2</v>
      </c>
    </row>
    <row r="26" spans="1:10">
      <c r="A26" s="300" t="s">
        <v>6</v>
      </c>
      <c r="C26" s="328"/>
      <c r="D26" s="329"/>
      <c r="F26" s="308" t="s">
        <v>1433</v>
      </c>
      <c r="G26" s="34">
        <v>2</v>
      </c>
    </row>
    <row r="27" spans="1:10" ht="15" thickBot="1">
      <c r="A27" s="300" t="s">
        <v>6</v>
      </c>
      <c r="C27" s="330"/>
      <c r="D27" s="331"/>
      <c r="F27" s="308" t="s">
        <v>1434</v>
      </c>
      <c r="G27" s="34">
        <v>2</v>
      </c>
    </row>
    <row r="28" spans="1:10" ht="18">
      <c r="A28" s="300" t="s">
        <v>6</v>
      </c>
      <c r="C28" s="318"/>
      <c r="D28" s="318"/>
    </row>
    <row r="29" spans="1:10" ht="18.600000000000001" thickBot="1">
      <c r="A29" s="300" t="s">
        <v>6</v>
      </c>
      <c r="C29" s="318"/>
      <c r="D29" s="318"/>
    </row>
    <row r="30" spans="1:10">
      <c r="A30" s="300" t="s">
        <v>6</v>
      </c>
      <c r="C30" s="332" t="s">
        <v>1529</v>
      </c>
      <c r="D30" s="333"/>
      <c r="F30" s="9" t="s">
        <v>1534</v>
      </c>
      <c r="G30" s="316">
        <f>(2*G17*G20*G13)</f>
        <v>40</v>
      </c>
      <c r="I30" s="319"/>
      <c r="J30" s="320"/>
    </row>
    <row r="31" spans="1:10">
      <c r="A31" s="300" t="s">
        <v>6</v>
      </c>
      <c r="C31" s="334"/>
      <c r="D31" s="335"/>
      <c r="F31" s="9" t="s">
        <v>1535</v>
      </c>
      <c r="G31" s="316">
        <v>8</v>
      </c>
      <c r="I31" s="320"/>
      <c r="J31" s="320"/>
    </row>
    <row r="32" spans="1:10">
      <c r="A32" s="300" t="s">
        <v>6</v>
      </c>
      <c r="C32" s="334"/>
      <c r="D32" s="335"/>
      <c r="F32" s="9" t="s">
        <v>1536</v>
      </c>
      <c r="G32" s="316">
        <v>3</v>
      </c>
      <c r="I32" s="320"/>
      <c r="J32" s="320"/>
    </row>
    <row r="33" spans="1:10">
      <c r="A33" s="300" t="s">
        <v>6</v>
      </c>
      <c r="C33" s="334"/>
      <c r="D33" s="335"/>
      <c r="F33"/>
      <c r="G33" s="307"/>
    </row>
    <row r="34" spans="1:10">
      <c r="A34" s="300" t="s">
        <v>6</v>
      </c>
      <c r="C34" s="334"/>
      <c r="D34" s="335"/>
      <c r="F34" s="9" t="s">
        <v>1537</v>
      </c>
      <c r="G34" s="316">
        <f>((4*(G18+G19)*G21*G14)+(G19*G8))</f>
        <v>89</v>
      </c>
    </row>
    <row r="35" spans="1:10">
      <c r="A35" s="300" t="s">
        <v>6</v>
      </c>
      <c r="C35" s="334"/>
      <c r="D35" s="335"/>
      <c r="F35" s="9" t="s">
        <v>1538</v>
      </c>
      <c r="G35" s="317">
        <v>6</v>
      </c>
    </row>
    <row r="36" spans="1:10" ht="15" thickBot="1">
      <c r="A36" s="300" t="s">
        <v>6</v>
      </c>
      <c r="C36" s="336"/>
      <c r="D36" s="337"/>
      <c r="F36" s="9" t="s">
        <v>1539</v>
      </c>
      <c r="G36" s="316">
        <f>(2*G8)</f>
        <v>6</v>
      </c>
    </row>
    <row r="37" spans="1:10" ht="18.600000000000001" thickBot="1">
      <c r="A37" s="300" t="s">
        <v>6</v>
      </c>
      <c r="C37" s="318"/>
      <c r="D37" s="318"/>
      <c r="F37"/>
      <c r="G37"/>
    </row>
    <row r="38" spans="1:10">
      <c r="A38" s="300" t="s">
        <v>6</v>
      </c>
      <c r="C38" s="326" t="s">
        <v>1528</v>
      </c>
      <c r="D38" s="327"/>
      <c r="F38" s="9" t="s">
        <v>1517</v>
      </c>
      <c r="G38" s="179" t="s">
        <v>1518</v>
      </c>
      <c r="I38" s="321" t="s">
        <v>1540</v>
      </c>
      <c r="J38" s="321"/>
    </row>
    <row r="39" spans="1:10">
      <c r="A39" s="300" t="s">
        <v>6</v>
      </c>
      <c r="C39" s="328"/>
      <c r="D39" s="329"/>
      <c r="F39" s="9" t="s">
        <v>1519</v>
      </c>
      <c r="G39" s="179" t="s">
        <v>1520</v>
      </c>
      <c r="I39" s="321" t="s">
        <v>1541</v>
      </c>
    </row>
    <row r="40" spans="1:10">
      <c r="A40" s="300" t="s">
        <v>6</v>
      </c>
      <c r="C40" s="328"/>
      <c r="D40" s="329"/>
      <c r="F40" s="9" t="s">
        <v>1521</v>
      </c>
      <c r="G40" s="179" t="s">
        <v>1543</v>
      </c>
      <c r="I40" s="321" t="s">
        <v>1544</v>
      </c>
    </row>
    <row r="41" spans="1:10">
      <c r="A41" s="300" t="s">
        <v>6</v>
      </c>
      <c r="C41" s="328"/>
      <c r="D41" s="329"/>
      <c r="F41"/>
      <c r="G41"/>
    </row>
    <row r="42" spans="1:10">
      <c r="A42" s="300" t="s">
        <v>6</v>
      </c>
      <c r="C42" s="328"/>
      <c r="D42" s="329"/>
      <c r="F42" s="9" t="s">
        <v>1522</v>
      </c>
      <c r="G42" s="179" t="s">
        <v>1523</v>
      </c>
      <c r="I42" s="321" t="s">
        <v>1540</v>
      </c>
      <c r="J42" s="321"/>
    </row>
    <row r="43" spans="1:10">
      <c r="A43" s="300" t="s">
        <v>6</v>
      </c>
      <c r="C43" s="328"/>
      <c r="D43" s="329"/>
      <c r="F43" s="9" t="s">
        <v>1524</v>
      </c>
      <c r="G43" s="179" t="s">
        <v>1525</v>
      </c>
      <c r="I43" s="321" t="s">
        <v>1541</v>
      </c>
    </row>
    <row r="44" spans="1:10" ht="15" thickBot="1">
      <c r="A44" s="300" t="s">
        <v>6</v>
      </c>
      <c r="C44" s="330"/>
      <c r="D44" s="331"/>
      <c r="F44" s="9" t="s">
        <v>1526</v>
      </c>
      <c r="G44" s="179" t="s">
        <v>1527</v>
      </c>
      <c r="I44" s="321" t="s">
        <v>1542</v>
      </c>
    </row>
    <row r="45" spans="1:10">
      <c r="A45" s="300" t="s">
        <v>6</v>
      </c>
    </row>
    <row r="46" spans="1:10">
      <c r="A46" s="300" t="s">
        <v>6</v>
      </c>
    </row>
    <row r="47" spans="1:10">
      <c r="A47" s="300" t="s">
        <v>6</v>
      </c>
    </row>
    <row r="48" spans="1:10">
      <c r="A48" s="300" t="s">
        <v>6</v>
      </c>
    </row>
    <row r="49" spans="1:1">
      <c r="A49" s="300" t="s">
        <v>6</v>
      </c>
    </row>
    <row r="50" spans="1:1">
      <c r="A50" s="300" t="s">
        <v>6</v>
      </c>
    </row>
    <row r="51" spans="1:1">
      <c r="A51" s="300" t="s">
        <v>6</v>
      </c>
    </row>
    <row r="52" spans="1:1">
      <c r="A52" s="300" t="s">
        <v>6</v>
      </c>
    </row>
    <row r="53" spans="1:1">
      <c r="A53" s="300" t="s">
        <v>6</v>
      </c>
    </row>
    <row r="54" spans="1:1">
      <c r="A54" s="300" t="s">
        <v>6</v>
      </c>
    </row>
    <row r="55" spans="1:1">
      <c r="A55" s="300" t="s">
        <v>6</v>
      </c>
    </row>
    <row r="56" spans="1:1">
      <c r="A56" s="300" t="s">
        <v>6</v>
      </c>
    </row>
    <row r="57" spans="1:1">
      <c r="A57" s="300" t="s">
        <v>6</v>
      </c>
    </row>
    <row r="58" spans="1:1">
      <c r="A58" s="300" t="s">
        <v>6</v>
      </c>
    </row>
    <row r="59" spans="1:1">
      <c r="A59" s="300" t="s">
        <v>6</v>
      </c>
    </row>
    <row r="60" spans="1:1">
      <c r="A60" s="300" t="s">
        <v>6</v>
      </c>
    </row>
    <row r="61" spans="1:1">
      <c r="A61" s="300" t="s">
        <v>6</v>
      </c>
    </row>
    <row r="62" spans="1:1">
      <c r="A62" s="300" t="s">
        <v>6</v>
      </c>
    </row>
    <row r="63" spans="1:1">
      <c r="A63" s="300" t="s">
        <v>6</v>
      </c>
    </row>
    <row r="64" spans="1:1">
      <c r="A64" s="300" t="s">
        <v>6</v>
      </c>
    </row>
    <row r="65" spans="1:1">
      <c r="A65" s="300" t="s">
        <v>6</v>
      </c>
    </row>
    <row r="66" spans="1:1">
      <c r="A66" s="300" t="s">
        <v>6</v>
      </c>
    </row>
    <row r="67" spans="1:1">
      <c r="A67" s="300" t="s">
        <v>6</v>
      </c>
    </row>
    <row r="68" spans="1:1">
      <c r="A68" s="300" t="s">
        <v>6</v>
      </c>
    </row>
    <row r="69" spans="1:1">
      <c r="A69" s="300" t="s">
        <v>6</v>
      </c>
    </row>
    <row r="70" spans="1:1">
      <c r="A70" s="300" t="s">
        <v>6</v>
      </c>
    </row>
    <row r="71" spans="1:1">
      <c r="A71" s="300" t="s">
        <v>6</v>
      </c>
    </row>
    <row r="72" spans="1:1">
      <c r="A72" s="300" t="s">
        <v>6</v>
      </c>
    </row>
    <row r="73" spans="1:1">
      <c r="A73" s="300" t="s">
        <v>6</v>
      </c>
    </row>
    <row r="74" spans="1:1">
      <c r="A74" s="300" t="s">
        <v>6</v>
      </c>
    </row>
    <row r="75" spans="1:1">
      <c r="A75" s="300" t="s">
        <v>6</v>
      </c>
    </row>
    <row r="76" spans="1:1">
      <c r="A76" s="300" t="s">
        <v>6</v>
      </c>
    </row>
    <row r="77" spans="1:1">
      <c r="A77" s="300" t="s">
        <v>6</v>
      </c>
    </row>
    <row r="78" spans="1:1">
      <c r="A78" s="300" t="s">
        <v>6</v>
      </c>
    </row>
    <row r="79" spans="1:1">
      <c r="A79" s="300" t="s">
        <v>6</v>
      </c>
    </row>
    <row r="80" spans="1:1">
      <c r="A80" s="300" t="s">
        <v>6</v>
      </c>
    </row>
    <row r="81" spans="1:1">
      <c r="A81" s="300" t="s">
        <v>6</v>
      </c>
    </row>
    <row r="82" spans="1:1">
      <c r="A82" s="300" t="s">
        <v>6</v>
      </c>
    </row>
    <row r="83" spans="1:1">
      <c r="A83" s="300" t="s">
        <v>6</v>
      </c>
    </row>
    <row r="84" spans="1:1">
      <c r="A84" s="300" t="s">
        <v>6</v>
      </c>
    </row>
    <row r="85" spans="1:1">
      <c r="A85" s="300" t="s">
        <v>6</v>
      </c>
    </row>
    <row r="86" spans="1:1">
      <c r="A86" s="300" t="s">
        <v>6</v>
      </c>
    </row>
    <row r="87" spans="1:1">
      <c r="A87" s="300" t="s">
        <v>6</v>
      </c>
    </row>
    <row r="88" spans="1:1">
      <c r="A88" s="300" t="s">
        <v>6</v>
      </c>
    </row>
    <row r="89" spans="1:1">
      <c r="A89" s="300" t="s">
        <v>6</v>
      </c>
    </row>
    <row r="90" spans="1:1">
      <c r="A90" s="300" t="s">
        <v>6</v>
      </c>
    </row>
    <row r="91" spans="1:1">
      <c r="A91" s="300" t="s">
        <v>6</v>
      </c>
    </row>
    <row r="92" spans="1:1">
      <c r="A92" s="300" t="s">
        <v>6</v>
      </c>
    </row>
    <row r="93" spans="1:1">
      <c r="A93" s="300" t="s">
        <v>6</v>
      </c>
    </row>
    <row r="94" spans="1:1">
      <c r="A94" s="300" t="s">
        <v>6</v>
      </c>
    </row>
    <row r="95" spans="1:1">
      <c r="A95" s="300" t="s">
        <v>6</v>
      </c>
    </row>
    <row r="96" spans="1:1">
      <c r="A96" s="300" t="s">
        <v>6</v>
      </c>
    </row>
    <row r="97" spans="1:1">
      <c r="A97" s="300" t="s">
        <v>6</v>
      </c>
    </row>
    <row r="98" spans="1:1">
      <c r="A98" s="300" t="s">
        <v>6</v>
      </c>
    </row>
    <row r="99" spans="1:1">
      <c r="A99" s="300" t="s">
        <v>6</v>
      </c>
    </row>
    <row r="100" spans="1:1">
      <c r="A100" s="300" t="s">
        <v>6</v>
      </c>
    </row>
    <row r="101" spans="1:1">
      <c r="A101" s="300" t="s">
        <v>6</v>
      </c>
    </row>
    <row r="102" spans="1:1">
      <c r="A102" s="300" t="s">
        <v>6</v>
      </c>
    </row>
    <row r="103" spans="1:1">
      <c r="A103" s="300" t="s">
        <v>6</v>
      </c>
    </row>
    <row r="104" spans="1:1">
      <c r="A104" s="300" t="s">
        <v>6</v>
      </c>
    </row>
    <row r="105" spans="1:1">
      <c r="A105" s="300" t="s">
        <v>6</v>
      </c>
    </row>
    <row r="106" spans="1:1">
      <c r="A106" s="300" t="s">
        <v>6</v>
      </c>
    </row>
    <row r="107" spans="1:1">
      <c r="A107" s="300" t="s">
        <v>6</v>
      </c>
    </row>
    <row r="108" spans="1:1">
      <c r="A108" s="300" t="s">
        <v>6</v>
      </c>
    </row>
    <row r="109" spans="1:1">
      <c r="A109" s="300" t="s">
        <v>6</v>
      </c>
    </row>
    <row r="110" spans="1:1">
      <c r="A110" s="300" t="s">
        <v>6</v>
      </c>
    </row>
    <row r="111" spans="1:1">
      <c r="A111" s="300" t="s">
        <v>6</v>
      </c>
    </row>
    <row r="112" spans="1:1">
      <c r="A112" s="300" t="s">
        <v>6</v>
      </c>
    </row>
    <row r="113" spans="1:1">
      <c r="A113" s="300" t="s">
        <v>6</v>
      </c>
    </row>
    <row r="114" spans="1:1">
      <c r="A114" s="300" t="s">
        <v>6</v>
      </c>
    </row>
    <row r="115" spans="1:1">
      <c r="A115" s="300" t="s">
        <v>6</v>
      </c>
    </row>
    <row r="116" spans="1:1">
      <c r="A116" s="300" t="s">
        <v>6</v>
      </c>
    </row>
    <row r="117" spans="1:1">
      <c r="A117" s="300" t="s">
        <v>6</v>
      </c>
    </row>
    <row r="118" spans="1:1">
      <c r="A118" s="300" t="s">
        <v>6</v>
      </c>
    </row>
    <row r="119" spans="1:1">
      <c r="A119" s="300" t="s">
        <v>6</v>
      </c>
    </row>
    <row r="120" spans="1:1">
      <c r="A120" s="300" t="s">
        <v>6</v>
      </c>
    </row>
    <row r="121" spans="1:1">
      <c r="A121" s="300" t="s">
        <v>6</v>
      </c>
    </row>
    <row r="122" spans="1:1">
      <c r="A122" s="300" t="s">
        <v>6</v>
      </c>
    </row>
    <row r="123" spans="1:1">
      <c r="A123" s="300" t="s">
        <v>6</v>
      </c>
    </row>
    <row r="124" spans="1:1">
      <c r="A124" s="300" t="s">
        <v>6</v>
      </c>
    </row>
    <row r="125" spans="1:1">
      <c r="A125" s="300" t="s">
        <v>6</v>
      </c>
    </row>
  </sheetData>
  <mergeCells count="13">
    <mergeCell ref="B1:C1"/>
    <mergeCell ref="B2:C2"/>
    <mergeCell ref="B3:C3"/>
    <mergeCell ref="O8:R9"/>
    <mergeCell ref="C38:D44"/>
    <mergeCell ref="C30:D36"/>
    <mergeCell ref="C24:D27"/>
    <mergeCell ref="C17:D21"/>
    <mergeCell ref="C13:D14"/>
    <mergeCell ref="C8:D10"/>
    <mergeCell ref="I17:J17"/>
    <mergeCell ref="I18:J18"/>
    <mergeCell ref="I19:J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UPFDeleteRows">
                <anchor moveWithCells="1">
                  <from>
                    <xdr:col>8</xdr:col>
                    <xdr:colOff>388620</xdr:colOff>
                    <xdr:row>7</xdr:row>
                    <xdr:rowOff>15240</xdr:rowOff>
                  </from>
                  <to>
                    <xdr:col>9</xdr:col>
                    <xdr:colOff>2476500</xdr:colOff>
                    <xdr:row>7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5" name="Button 5">
              <controlPr defaultSize="0" print="0" autoFill="0" autoPict="0" macro="[0]!CPFDeleteRows">
                <anchor moveWithCells="1">
                  <from>
                    <xdr:col>8</xdr:col>
                    <xdr:colOff>381000</xdr:colOff>
                    <xdr:row>8</xdr:row>
                    <xdr:rowOff>68580</xdr:rowOff>
                  </from>
                  <to>
                    <xdr:col>9</xdr:col>
                    <xdr:colOff>2484120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6" name="Button 6">
              <controlPr defaultSize="0" print="0" autoFill="0" autoPict="0" macro="[0]!SPGWDeleteRows">
                <anchor moveWithCells="1">
                  <from>
                    <xdr:col>8</xdr:col>
                    <xdr:colOff>373380</xdr:colOff>
                    <xdr:row>9</xdr:row>
                    <xdr:rowOff>121920</xdr:rowOff>
                  </from>
                  <to>
                    <xdr:col>9</xdr:col>
                    <xdr:colOff>2453640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18DDD18-315E-4BF6-9AAB-B6EAA0407A1F}">
          <x14:formula1>
            <xm:f>Readme!$BA$2:$BA$3</xm:f>
          </x14:formula1>
          <xm:sqref>G7</xm:sqref>
        </x14:dataValidation>
        <x14:dataValidation type="list" allowBlank="1" showInputMessage="1" showErrorMessage="1" xr:uid="{6D7E1262-481E-472D-8991-E808F4F7A39E}">
          <x14:formula1>
            <xm:f>Readme!$BB$2:$BB$11</xm:f>
          </x14:formula1>
          <xm:sqref>G8:G10</xm:sqref>
        </x14:dataValidation>
        <x14:dataValidation type="list" allowBlank="1" showInputMessage="1" showErrorMessage="1" xr:uid="{96B3AF56-180C-44B5-B852-4530FA73167D}">
          <x14:formula1>
            <xm:f>Readme!$BD$2:$BD$3</xm:f>
          </x14:formula1>
          <xm:sqref>G24</xm:sqref>
        </x14:dataValidation>
        <x14:dataValidation type="list" allowBlank="1" showInputMessage="1" showErrorMessage="1" xr:uid="{B5D702B4-E8EA-4DEC-B3E8-6207AFB0355E}">
          <x14:formula1>
            <xm:f>Readme!$BC$2:$BC$21</xm:f>
          </x14:formula1>
          <xm:sqref>G25:G27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B73F5-A9CF-4952-A2E9-D62BCFB8A86F}">
  <sheetPr codeName="Sheet31"/>
  <dimension ref="A1:M125"/>
  <sheetViews>
    <sheetView topLeftCell="A17" zoomScale="80" zoomScaleNormal="80" workbookViewId="0">
      <selection activeCell="F31" sqref="F31"/>
    </sheetView>
  </sheetViews>
  <sheetFormatPr defaultRowHeight="14.4"/>
  <cols>
    <col min="1" max="1" width="3.109375" style="387" customWidth="1"/>
    <col min="2" max="2" width="8.88671875" style="387"/>
    <col min="3" max="3" width="16.88671875" style="387" bestFit="1" customWidth="1"/>
    <col min="4" max="4" width="32.109375" style="387" bestFit="1" customWidth="1"/>
    <col min="5" max="5" width="15" style="387" bestFit="1" customWidth="1"/>
    <col min="6" max="6" width="34" style="387" customWidth="1"/>
    <col min="7" max="8" width="4.77734375" style="387" customWidth="1"/>
    <col min="9" max="9" width="8.88671875" style="387"/>
    <col min="10" max="10" width="11.109375" style="387" bestFit="1" customWidth="1"/>
    <col min="11" max="11" width="39.77734375" style="387" customWidth="1"/>
    <col min="12" max="12" width="23.5546875" style="387" customWidth="1"/>
    <col min="13" max="13" width="33.33203125" style="387" customWidth="1"/>
    <col min="14" max="16384" width="8.88671875" style="387"/>
  </cols>
  <sheetData>
    <row r="1" spans="1:13">
      <c r="A1" s="388" t="s">
        <v>6</v>
      </c>
    </row>
    <row r="2" spans="1:13">
      <c r="A2" s="388" t="s">
        <v>6</v>
      </c>
    </row>
    <row r="3" spans="1:13">
      <c r="A3" s="388" t="s">
        <v>6</v>
      </c>
    </row>
    <row r="4" spans="1:13" ht="21.6" thickBot="1">
      <c r="A4" s="387" t="s">
        <v>6</v>
      </c>
      <c r="C4" s="389"/>
      <c r="D4" s="389"/>
      <c r="E4" s="389"/>
      <c r="F4" s="389"/>
      <c r="G4" s="389"/>
      <c r="H4" s="389"/>
    </row>
    <row r="5" spans="1:13" ht="15" thickBot="1">
      <c r="A5" s="387" t="s">
        <v>6</v>
      </c>
      <c r="C5" s="405" t="s">
        <v>1548</v>
      </c>
      <c r="D5" s="406"/>
      <c r="E5" s="406"/>
      <c r="F5" s="407"/>
      <c r="G5" s="390"/>
      <c r="H5" s="390"/>
      <c r="J5" s="410" t="s">
        <v>1564</v>
      </c>
      <c r="K5" s="411"/>
      <c r="L5" s="411"/>
      <c r="M5" s="412"/>
    </row>
    <row r="6" spans="1:13">
      <c r="A6" s="387" t="s">
        <v>6</v>
      </c>
      <c r="C6" s="403" t="s">
        <v>97</v>
      </c>
      <c r="D6" s="404" t="s">
        <v>1549</v>
      </c>
      <c r="E6" s="404" t="s">
        <v>1550</v>
      </c>
      <c r="F6" s="404" t="s">
        <v>1551</v>
      </c>
      <c r="G6" s="391"/>
      <c r="H6" s="391"/>
      <c r="J6" s="408" t="s">
        <v>97</v>
      </c>
      <c r="K6" s="409" t="s">
        <v>1549</v>
      </c>
      <c r="L6" s="409" t="s">
        <v>1550</v>
      </c>
      <c r="M6" s="409" t="s">
        <v>1551</v>
      </c>
    </row>
    <row r="7" spans="1:13" ht="21">
      <c r="A7" s="387" t="s">
        <v>6</v>
      </c>
      <c r="C7" s="392" t="s">
        <v>1552</v>
      </c>
      <c r="D7" s="393" t="s">
        <v>1553</v>
      </c>
      <c r="E7" s="393" t="str">
        <f>_xlfn.CONCAT((ipadd(Beforeyoustart!G43,1)),"/32")</f>
        <v>10.95.68.17/32</v>
      </c>
      <c r="F7" s="394"/>
      <c r="G7" s="395"/>
      <c r="H7" s="395"/>
      <c r="J7" s="392" t="s">
        <v>1565</v>
      </c>
      <c r="K7" s="393" t="s">
        <v>1566</v>
      </c>
      <c r="L7" s="393" t="str">
        <f>_xlfn.CONCAT((ipadd(Beforeyoustart!G43,1)),"/32")</f>
        <v>10.95.68.17/32</v>
      </c>
      <c r="M7" s="396"/>
    </row>
    <row r="8" spans="1:13" ht="21">
      <c r="A8" s="387" t="s">
        <v>6</v>
      </c>
      <c r="C8" s="392" t="s">
        <v>1554</v>
      </c>
      <c r="D8" s="393" t="s">
        <v>187</v>
      </c>
      <c r="E8" s="393" t="str">
        <f>_xlfn.CONCAT((ipadd(E7,1)),"/32")</f>
        <v>10.95.68.18/32</v>
      </c>
      <c r="F8" s="394"/>
      <c r="G8" s="395"/>
      <c r="H8" s="395"/>
      <c r="J8" s="392" t="s">
        <v>1567</v>
      </c>
      <c r="K8" s="393" t="s">
        <v>197</v>
      </c>
      <c r="L8" s="393" t="str">
        <f>_xlfn.CONCAT((ipadd(L7,1)),"/32")</f>
        <v>10.95.68.18/32</v>
      </c>
      <c r="M8" s="396"/>
    </row>
    <row r="9" spans="1:13" ht="21">
      <c r="A9" s="387" t="s">
        <v>6</v>
      </c>
      <c r="C9" s="392" t="s">
        <v>1555</v>
      </c>
      <c r="D9" s="393" t="s">
        <v>112</v>
      </c>
      <c r="E9" s="393" t="str">
        <f t="shared" ref="E9:E13" si="0">_xlfn.CONCAT((ipadd(E8,1)),"/32")</f>
        <v>10.95.68.19/32</v>
      </c>
      <c r="F9" s="394"/>
      <c r="G9" s="395"/>
      <c r="H9" s="395"/>
      <c r="J9" s="392" t="s">
        <v>1563</v>
      </c>
      <c r="K9" s="393" t="s">
        <v>1563</v>
      </c>
      <c r="L9" s="393" t="str">
        <f>_xlfn.CONCAT((ipadd(L8,1)),"/32")</f>
        <v>10.95.68.19/32</v>
      </c>
      <c r="M9" s="397"/>
    </row>
    <row r="10" spans="1:13" ht="21">
      <c r="A10" s="387" t="s">
        <v>6</v>
      </c>
      <c r="C10" s="392" t="s">
        <v>1556</v>
      </c>
      <c r="D10" s="393" t="s">
        <v>177</v>
      </c>
      <c r="E10" s="393" t="str">
        <f t="shared" si="0"/>
        <v>10.95.68.20/32</v>
      </c>
      <c r="F10" s="394"/>
      <c r="G10" s="395"/>
      <c r="H10" s="395"/>
      <c r="J10" s="399" t="s">
        <v>1568</v>
      </c>
      <c r="K10" s="393" t="s">
        <v>1569</v>
      </c>
      <c r="L10" s="413" t="str">
        <f>_xlfn.CONCAT((ipadd(Beforeyoustart!G40,1)),"/32")</f>
        <v>200.88.25.1/32</v>
      </c>
      <c r="M10" s="396"/>
    </row>
    <row r="11" spans="1:13" ht="21">
      <c r="A11" s="387" t="s">
        <v>6</v>
      </c>
      <c r="C11" s="392" t="s">
        <v>1557</v>
      </c>
      <c r="D11" s="393" t="s">
        <v>166</v>
      </c>
      <c r="E11" s="393" t="str">
        <f t="shared" si="0"/>
        <v>10.95.68.21/32</v>
      </c>
      <c r="F11" s="394"/>
      <c r="G11" s="395"/>
      <c r="H11" s="395"/>
      <c r="J11" s="399"/>
      <c r="K11" s="393" t="s">
        <v>1570</v>
      </c>
      <c r="L11" s="413" t="str">
        <f>_xlfn.CONCAT((ipadd(L10,1)),"/32")</f>
        <v>200.88.25.2/32</v>
      </c>
      <c r="M11" s="396"/>
    </row>
    <row r="12" spans="1:13" ht="21">
      <c r="A12" s="387" t="s">
        <v>6</v>
      </c>
      <c r="C12" s="392" t="s">
        <v>1558</v>
      </c>
      <c r="D12" s="393" t="s">
        <v>167</v>
      </c>
      <c r="E12" s="393" t="str">
        <f t="shared" si="0"/>
        <v>10.95.68.22/32</v>
      </c>
      <c r="F12" s="394"/>
      <c r="G12" s="395"/>
      <c r="H12" s="395"/>
      <c r="J12" s="399"/>
      <c r="K12" s="393" t="s">
        <v>1571</v>
      </c>
      <c r="L12" s="413" t="str">
        <f t="shared" ref="L12:L13" si="1">_xlfn.CONCAT((ipadd(L11,1)),"/32")</f>
        <v>200.88.25.3/32</v>
      </c>
      <c r="M12" s="396"/>
    </row>
    <row r="13" spans="1:13" ht="21">
      <c r="A13" s="387" t="s">
        <v>6</v>
      </c>
      <c r="C13" s="392" t="s">
        <v>1559</v>
      </c>
      <c r="D13" s="393" t="s">
        <v>110</v>
      </c>
      <c r="E13" s="393" t="str">
        <f t="shared" si="0"/>
        <v>10.95.68.23/32</v>
      </c>
      <c r="F13" s="394"/>
      <c r="G13" s="395"/>
      <c r="H13" s="395"/>
      <c r="J13" s="399"/>
      <c r="K13" s="393" t="s">
        <v>1572</v>
      </c>
      <c r="L13" s="413" t="str">
        <f t="shared" si="1"/>
        <v>200.88.25.4/32</v>
      </c>
      <c r="M13" s="396"/>
    </row>
    <row r="14" spans="1:13" ht="21">
      <c r="A14" s="387" t="s">
        <v>6</v>
      </c>
      <c r="C14" s="392" t="s">
        <v>1560</v>
      </c>
      <c r="D14" s="393" t="s">
        <v>552</v>
      </c>
      <c r="E14" s="413" t="str">
        <f>_xlfn.CONCAT((ipadd(Beforeyoustart!G40,1)),"/32")</f>
        <v>200.88.25.1/32</v>
      </c>
      <c r="F14" s="394"/>
      <c r="G14" s="395"/>
      <c r="H14" s="395"/>
      <c r="J14" s="399"/>
      <c r="K14" s="393" t="s">
        <v>1573</v>
      </c>
      <c r="L14" s="414"/>
      <c r="M14" s="398"/>
    </row>
    <row r="15" spans="1:13" ht="21">
      <c r="A15" s="387" t="s">
        <v>6</v>
      </c>
      <c r="C15" s="399" t="s">
        <v>1561</v>
      </c>
      <c r="D15" s="393" t="s">
        <v>1562</v>
      </c>
      <c r="E15" s="413" t="str">
        <f>_xlfn.CONCAT((ipadd(E14,1)),"/32")</f>
        <v>200.88.25.2/32</v>
      </c>
      <c r="F15" s="394"/>
      <c r="G15" s="395"/>
      <c r="H15" s="395"/>
      <c r="J15" s="399"/>
      <c r="K15" s="393" t="s">
        <v>1574</v>
      </c>
      <c r="L15" s="414"/>
      <c r="M15" s="398"/>
    </row>
    <row r="16" spans="1:13" ht="21">
      <c r="A16" s="387" t="s">
        <v>6</v>
      </c>
      <c r="C16" s="399"/>
      <c r="D16" s="393" t="s">
        <v>554</v>
      </c>
      <c r="E16" s="413" t="str">
        <f>_xlfn.CONCAT((ipadd(E15,1)),"/32")</f>
        <v>200.88.25.3/32</v>
      </c>
      <c r="F16" s="394"/>
      <c r="G16" s="395"/>
      <c r="H16" s="395"/>
      <c r="J16" s="399"/>
      <c r="K16" s="393" t="s">
        <v>1575</v>
      </c>
      <c r="L16" s="414"/>
      <c r="M16" s="398"/>
    </row>
    <row r="17" spans="1:13" ht="21.6" thickBot="1">
      <c r="A17" s="387" t="s">
        <v>6</v>
      </c>
      <c r="C17" s="400" t="s">
        <v>1563</v>
      </c>
      <c r="D17" s="401" t="s">
        <v>555</v>
      </c>
      <c r="E17" s="393" t="str">
        <f>_xlfn.CONCAT((ipadd(E13,1)),"/32")</f>
        <v>10.95.68.24/32</v>
      </c>
      <c r="F17" s="402"/>
      <c r="G17" s="395"/>
      <c r="H17" s="395"/>
      <c r="J17" s="399"/>
      <c r="K17" s="393" t="s">
        <v>1576</v>
      </c>
      <c r="L17" s="414"/>
      <c r="M17" s="398"/>
    </row>
    <row r="18" spans="1:13" ht="21">
      <c r="A18" s="387" t="s">
        <v>6</v>
      </c>
      <c r="J18" s="399"/>
      <c r="K18" s="393" t="s">
        <v>1577</v>
      </c>
      <c r="L18" s="414"/>
      <c r="M18" s="398"/>
    </row>
    <row r="19" spans="1:13" ht="21">
      <c r="A19" s="387" t="s">
        <v>6</v>
      </c>
      <c r="J19" s="399"/>
      <c r="K19" s="393" t="s">
        <v>1578</v>
      </c>
      <c r="L19" s="413" t="str">
        <f>_xlfn.CONCAT((ipadd(L13,1)),"/32")</f>
        <v>200.88.25.5/32</v>
      </c>
      <c r="M19" s="396"/>
    </row>
    <row r="20" spans="1:13" ht="21">
      <c r="A20" s="387" t="s">
        <v>6</v>
      </c>
      <c r="J20" s="399"/>
      <c r="K20" s="393" t="s">
        <v>1579</v>
      </c>
      <c r="L20" s="413" t="str">
        <f>_xlfn.CONCAT((ipadd(L19,1)),"/32")</f>
        <v>200.88.25.6/32</v>
      </c>
      <c r="M20" s="396"/>
    </row>
    <row r="21" spans="1:13" ht="21">
      <c r="A21" s="387" t="s">
        <v>6</v>
      </c>
      <c r="J21" s="399"/>
      <c r="K21" s="393" t="s">
        <v>1580</v>
      </c>
      <c r="L21" s="413" t="str">
        <f t="shared" ref="L21:L22" si="2">_xlfn.CONCAT((ipadd(L20,1)),"/32")</f>
        <v>200.88.25.7/32</v>
      </c>
      <c r="M21" s="396"/>
    </row>
    <row r="22" spans="1:13" ht="21">
      <c r="A22" s="387" t="s">
        <v>6</v>
      </c>
      <c r="J22" s="399"/>
      <c r="K22" s="393" t="s">
        <v>1581</v>
      </c>
      <c r="L22" s="413" t="str">
        <f t="shared" si="2"/>
        <v>200.88.25.8/32</v>
      </c>
      <c r="M22" s="396"/>
    </row>
    <row r="23" spans="1:13" ht="21">
      <c r="A23" s="387" t="s">
        <v>6</v>
      </c>
      <c r="J23" s="399"/>
      <c r="K23" s="393" t="s">
        <v>1582</v>
      </c>
      <c r="L23" s="414"/>
      <c r="M23" s="398"/>
    </row>
    <row r="24" spans="1:13" ht="21">
      <c r="A24" s="387" t="s">
        <v>6</v>
      </c>
      <c r="J24" s="399"/>
      <c r="K24" s="393" t="s">
        <v>1583</v>
      </c>
      <c r="L24" s="414"/>
      <c r="M24" s="398"/>
    </row>
    <row r="25" spans="1:13" ht="21">
      <c r="A25" s="387" t="s">
        <v>6</v>
      </c>
      <c r="J25" s="399"/>
      <c r="K25" s="393" t="s">
        <v>1584</v>
      </c>
      <c r="L25" s="414"/>
      <c r="M25" s="398"/>
    </row>
    <row r="26" spans="1:13" ht="21">
      <c r="A26" s="387" t="s">
        <v>6</v>
      </c>
      <c r="J26" s="399"/>
      <c r="K26" s="393" t="s">
        <v>1585</v>
      </c>
      <c r="L26" s="414"/>
      <c r="M26" s="398"/>
    </row>
    <row r="27" spans="1:13" ht="21">
      <c r="A27" s="387" t="s">
        <v>6</v>
      </c>
      <c r="J27" s="399"/>
      <c r="K27" s="393" t="s">
        <v>1586</v>
      </c>
      <c r="L27" s="414"/>
      <c r="M27" s="398"/>
    </row>
    <row r="28" spans="1:13" ht="21">
      <c r="A28" s="387" t="s">
        <v>6</v>
      </c>
      <c r="J28" s="392" t="s">
        <v>1587</v>
      </c>
      <c r="K28" s="393" t="s">
        <v>313</v>
      </c>
      <c r="L28" s="393" t="str">
        <f>_xlfn.CONCAT((ipadd(L9,1)),"/32")</f>
        <v>10.95.68.20/32</v>
      </c>
      <c r="M28" s="398"/>
    </row>
    <row r="29" spans="1:13" ht="21">
      <c r="A29" s="387" t="s">
        <v>6</v>
      </c>
      <c r="J29" s="392" t="s">
        <v>1588</v>
      </c>
      <c r="K29" s="393" t="s">
        <v>314</v>
      </c>
      <c r="L29" s="393" t="str">
        <f>_xlfn.CONCAT((ipadd(L28,1)),"/32")</f>
        <v>10.95.68.21/32</v>
      </c>
      <c r="M29" s="398"/>
    </row>
    <row r="30" spans="1:13" ht="21" thickBot="1">
      <c r="A30" s="387" t="s">
        <v>6</v>
      </c>
      <c r="J30" s="400" t="s">
        <v>1563</v>
      </c>
      <c r="K30" s="401" t="s">
        <v>1563</v>
      </c>
      <c r="L30" s="401" t="str">
        <f>_xlfn.CONCAT((ipadd(L29,1)),"/32")</f>
        <v>10.95.68.22/32</v>
      </c>
      <c r="M30" s="415"/>
    </row>
    <row r="31" spans="1:13">
      <c r="A31" s="387" t="s">
        <v>6</v>
      </c>
    </row>
    <row r="32" spans="1:13">
      <c r="A32" s="387" t="s">
        <v>6</v>
      </c>
    </row>
    <row r="33" spans="1:1">
      <c r="A33" s="387" t="s">
        <v>6</v>
      </c>
    </row>
    <row r="34" spans="1:1">
      <c r="A34" s="387" t="s">
        <v>6</v>
      </c>
    </row>
    <row r="35" spans="1:1">
      <c r="A35" s="387" t="s">
        <v>6</v>
      </c>
    </row>
    <row r="36" spans="1:1">
      <c r="A36" s="387" t="s">
        <v>6</v>
      </c>
    </row>
    <row r="37" spans="1:1">
      <c r="A37" s="387" t="s">
        <v>6</v>
      </c>
    </row>
    <row r="38" spans="1:1">
      <c r="A38" s="387" t="s">
        <v>6</v>
      </c>
    </row>
    <row r="39" spans="1:1">
      <c r="A39" s="387" t="s">
        <v>6</v>
      </c>
    </row>
    <row r="40" spans="1:1">
      <c r="A40" s="387" t="s">
        <v>6</v>
      </c>
    </row>
    <row r="41" spans="1:1">
      <c r="A41" s="387" t="s">
        <v>6</v>
      </c>
    </row>
    <row r="42" spans="1:1">
      <c r="A42" s="387" t="s">
        <v>6</v>
      </c>
    </row>
    <row r="43" spans="1:1">
      <c r="A43" s="387" t="s">
        <v>6</v>
      </c>
    </row>
    <row r="44" spans="1:1">
      <c r="A44" s="387" t="s">
        <v>6</v>
      </c>
    </row>
    <row r="45" spans="1:1">
      <c r="A45" s="387" t="s">
        <v>6</v>
      </c>
    </row>
    <row r="46" spans="1:1">
      <c r="A46" s="387" t="s">
        <v>6</v>
      </c>
    </row>
    <row r="47" spans="1:1">
      <c r="A47" s="387" t="s">
        <v>6</v>
      </c>
    </row>
    <row r="48" spans="1:1">
      <c r="A48" s="387" t="s">
        <v>6</v>
      </c>
    </row>
    <row r="49" spans="1:1">
      <c r="A49" s="387" t="s">
        <v>6</v>
      </c>
    </row>
    <row r="50" spans="1:1">
      <c r="A50" s="387" t="s">
        <v>6</v>
      </c>
    </row>
    <row r="51" spans="1:1">
      <c r="A51" s="387" t="s">
        <v>6</v>
      </c>
    </row>
    <row r="52" spans="1:1">
      <c r="A52" s="387" t="s">
        <v>6</v>
      </c>
    </row>
    <row r="53" spans="1:1">
      <c r="A53" s="387" t="s">
        <v>6</v>
      </c>
    </row>
    <row r="54" spans="1:1">
      <c r="A54" s="387" t="s">
        <v>6</v>
      </c>
    </row>
    <row r="55" spans="1:1">
      <c r="A55" s="387" t="s">
        <v>6</v>
      </c>
    </row>
    <row r="56" spans="1:1">
      <c r="A56" s="387" t="s">
        <v>6</v>
      </c>
    </row>
    <row r="57" spans="1:1">
      <c r="A57" s="387" t="s">
        <v>6</v>
      </c>
    </row>
    <row r="58" spans="1:1">
      <c r="A58" s="387" t="s">
        <v>6</v>
      </c>
    </row>
    <row r="59" spans="1:1">
      <c r="A59" s="387" t="s">
        <v>6</v>
      </c>
    </row>
    <row r="60" spans="1:1">
      <c r="A60" s="387" t="s">
        <v>6</v>
      </c>
    </row>
    <row r="61" spans="1:1">
      <c r="A61" s="387" t="s">
        <v>6</v>
      </c>
    </row>
    <row r="62" spans="1:1">
      <c r="A62" s="387" t="s">
        <v>6</v>
      </c>
    </row>
    <row r="63" spans="1:1">
      <c r="A63" s="387" t="s">
        <v>6</v>
      </c>
    </row>
    <row r="64" spans="1:1">
      <c r="A64" s="387" t="s">
        <v>6</v>
      </c>
    </row>
    <row r="65" spans="1:1">
      <c r="A65" s="387" t="s">
        <v>6</v>
      </c>
    </row>
    <row r="66" spans="1:1">
      <c r="A66" s="387" t="s">
        <v>6</v>
      </c>
    </row>
    <row r="67" spans="1:1">
      <c r="A67" s="387" t="s">
        <v>6</v>
      </c>
    </row>
    <row r="68" spans="1:1">
      <c r="A68" s="387" t="s">
        <v>6</v>
      </c>
    </row>
    <row r="69" spans="1:1">
      <c r="A69" s="387" t="s">
        <v>6</v>
      </c>
    </row>
    <row r="70" spans="1:1">
      <c r="A70" s="387" t="s">
        <v>6</v>
      </c>
    </row>
    <row r="71" spans="1:1">
      <c r="A71" s="387" t="s">
        <v>6</v>
      </c>
    </row>
    <row r="72" spans="1:1">
      <c r="A72" s="387" t="s">
        <v>6</v>
      </c>
    </row>
    <row r="73" spans="1:1">
      <c r="A73" s="387" t="s">
        <v>6</v>
      </c>
    </row>
    <row r="74" spans="1:1">
      <c r="A74" s="387" t="s">
        <v>6</v>
      </c>
    </row>
    <row r="75" spans="1:1">
      <c r="A75" s="387" t="s">
        <v>6</v>
      </c>
    </row>
    <row r="76" spans="1:1">
      <c r="A76" s="387" t="s">
        <v>6</v>
      </c>
    </row>
    <row r="77" spans="1:1">
      <c r="A77" s="387" t="s">
        <v>6</v>
      </c>
    </row>
    <row r="78" spans="1:1">
      <c r="A78" s="387" t="s">
        <v>6</v>
      </c>
    </row>
    <row r="79" spans="1:1">
      <c r="A79" s="387" t="s">
        <v>6</v>
      </c>
    </row>
    <row r="80" spans="1:1">
      <c r="A80" s="387" t="s">
        <v>6</v>
      </c>
    </row>
    <row r="81" spans="1:1">
      <c r="A81" s="387" t="s">
        <v>6</v>
      </c>
    </row>
    <row r="82" spans="1:1">
      <c r="A82" s="387" t="s">
        <v>6</v>
      </c>
    </row>
    <row r="83" spans="1:1">
      <c r="A83" s="387" t="s">
        <v>6</v>
      </c>
    </row>
    <row r="84" spans="1:1">
      <c r="A84" s="387" t="s">
        <v>6</v>
      </c>
    </row>
    <row r="85" spans="1:1">
      <c r="A85" s="387" t="s">
        <v>6</v>
      </c>
    </row>
    <row r="86" spans="1:1">
      <c r="A86" s="387" t="s">
        <v>6</v>
      </c>
    </row>
    <row r="87" spans="1:1">
      <c r="A87" s="387" t="s">
        <v>6</v>
      </c>
    </row>
    <row r="88" spans="1:1">
      <c r="A88" s="387" t="s">
        <v>6</v>
      </c>
    </row>
    <row r="89" spans="1:1">
      <c r="A89" s="387" t="s">
        <v>6</v>
      </c>
    </row>
    <row r="90" spans="1:1">
      <c r="A90" s="387" t="s">
        <v>6</v>
      </c>
    </row>
    <row r="91" spans="1:1">
      <c r="A91" s="387" t="s">
        <v>6</v>
      </c>
    </row>
    <row r="92" spans="1:1">
      <c r="A92" s="387" t="s">
        <v>6</v>
      </c>
    </row>
    <row r="93" spans="1:1">
      <c r="A93" s="387" t="s">
        <v>6</v>
      </c>
    </row>
    <row r="94" spans="1:1">
      <c r="A94" s="387" t="s">
        <v>6</v>
      </c>
    </row>
    <row r="95" spans="1:1">
      <c r="A95" s="387" t="s">
        <v>6</v>
      </c>
    </row>
    <row r="96" spans="1:1">
      <c r="A96" s="387" t="s">
        <v>6</v>
      </c>
    </row>
    <row r="97" spans="1:1">
      <c r="A97" s="387" t="s">
        <v>6</v>
      </c>
    </row>
    <row r="98" spans="1:1">
      <c r="A98" s="387" t="s">
        <v>6</v>
      </c>
    </row>
    <row r="99" spans="1:1">
      <c r="A99" s="387" t="s">
        <v>6</v>
      </c>
    </row>
    <row r="100" spans="1:1">
      <c r="A100" s="387" t="s">
        <v>6</v>
      </c>
    </row>
    <row r="101" spans="1:1">
      <c r="A101" s="387" t="s">
        <v>6</v>
      </c>
    </row>
    <row r="102" spans="1:1">
      <c r="A102" s="387" t="s">
        <v>6</v>
      </c>
    </row>
    <row r="103" spans="1:1">
      <c r="A103" s="387" t="s">
        <v>6</v>
      </c>
    </row>
    <row r="104" spans="1:1">
      <c r="A104" s="387" t="s">
        <v>6</v>
      </c>
    </row>
    <row r="105" spans="1:1">
      <c r="A105" s="387" t="s">
        <v>6</v>
      </c>
    </row>
    <row r="106" spans="1:1">
      <c r="A106" s="387" t="s">
        <v>6</v>
      </c>
    </row>
    <row r="107" spans="1:1">
      <c r="A107" s="387" t="s">
        <v>6</v>
      </c>
    </row>
    <row r="108" spans="1:1">
      <c r="A108" s="387" t="s">
        <v>6</v>
      </c>
    </row>
    <row r="109" spans="1:1">
      <c r="A109" s="387" t="s">
        <v>6</v>
      </c>
    </row>
    <row r="110" spans="1:1">
      <c r="A110" s="387" t="s">
        <v>6</v>
      </c>
    </row>
    <row r="111" spans="1:1">
      <c r="A111" s="387" t="s">
        <v>6</v>
      </c>
    </row>
    <row r="112" spans="1:1">
      <c r="A112" s="387" t="s">
        <v>6</v>
      </c>
    </row>
    <row r="113" spans="1:1">
      <c r="A113" s="387" t="s">
        <v>6</v>
      </c>
    </row>
    <row r="114" spans="1:1">
      <c r="A114" s="387" t="s">
        <v>6</v>
      </c>
    </row>
    <row r="115" spans="1:1">
      <c r="A115" s="387" t="s">
        <v>6</v>
      </c>
    </row>
    <row r="116" spans="1:1">
      <c r="A116" s="387" t="s">
        <v>6</v>
      </c>
    </row>
    <row r="117" spans="1:1">
      <c r="A117" s="387" t="s">
        <v>6</v>
      </c>
    </row>
    <row r="118" spans="1:1">
      <c r="A118" s="387" t="s">
        <v>6</v>
      </c>
    </row>
    <row r="119" spans="1:1">
      <c r="A119" s="387" t="s">
        <v>6</v>
      </c>
    </row>
    <row r="120" spans="1:1">
      <c r="A120" s="387" t="s">
        <v>6</v>
      </c>
    </row>
    <row r="121" spans="1:1">
      <c r="A121" s="387" t="s">
        <v>6</v>
      </c>
    </row>
    <row r="122" spans="1:1">
      <c r="A122" s="387" t="s">
        <v>6</v>
      </c>
    </row>
    <row r="123" spans="1:1">
      <c r="A123" s="387" t="s">
        <v>6</v>
      </c>
    </row>
    <row r="124" spans="1:1">
      <c r="A124" s="387" t="s">
        <v>6</v>
      </c>
    </row>
    <row r="125" spans="1:1">
      <c r="A125" s="387" t="s">
        <v>6</v>
      </c>
    </row>
  </sheetData>
  <mergeCells count="4">
    <mergeCell ref="C5:F5"/>
    <mergeCell ref="C15:C16"/>
    <mergeCell ref="J5:M5"/>
    <mergeCell ref="J10:J2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A8A7B-97DA-414E-8B42-324B19D8A713}">
  <sheetPr codeName="Sheet2"/>
  <dimension ref="A1:H14"/>
  <sheetViews>
    <sheetView zoomScale="80" zoomScaleNormal="80" workbookViewId="0">
      <selection activeCell="A4" sqref="A4:B6"/>
    </sheetView>
  </sheetViews>
  <sheetFormatPr defaultRowHeight="14.4"/>
  <cols>
    <col min="1" max="1" width="3" bestFit="1" customWidth="1"/>
    <col min="2" max="2" width="23.5546875" bestFit="1" customWidth="1"/>
    <col min="3" max="3" width="7.5546875" bestFit="1" customWidth="1"/>
    <col min="4" max="4" width="15" bestFit="1" customWidth="1"/>
    <col min="5" max="5" width="14.88671875" bestFit="1" customWidth="1"/>
    <col min="6" max="6" width="9.5546875" bestFit="1" customWidth="1"/>
    <col min="7" max="7" width="13.21875" bestFit="1" customWidth="1"/>
    <col min="8" max="8" width="14.109375" bestFit="1" customWidth="1"/>
  </cols>
  <sheetData>
    <row r="1" spans="1:8">
      <c r="A1" s="58" t="s">
        <v>6</v>
      </c>
      <c r="B1" s="344" t="s">
        <v>378</v>
      </c>
      <c r="C1" s="221" t="s">
        <v>536</v>
      </c>
      <c r="D1" s="221" t="s">
        <v>536</v>
      </c>
      <c r="E1" s="221" t="s">
        <v>536</v>
      </c>
      <c r="F1" s="221" t="s">
        <v>536</v>
      </c>
      <c r="G1" s="221" t="s">
        <v>536</v>
      </c>
      <c r="H1" s="221" t="s">
        <v>536</v>
      </c>
    </row>
    <row r="2" spans="1:8">
      <c r="A2" s="58" t="s">
        <v>6</v>
      </c>
      <c r="B2" s="344"/>
      <c r="C2" s="221" t="s">
        <v>36</v>
      </c>
      <c r="D2" s="221" t="s">
        <v>36</v>
      </c>
      <c r="E2" s="221" t="s">
        <v>36</v>
      </c>
      <c r="F2" s="221" t="s">
        <v>36</v>
      </c>
      <c r="G2" s="221" t="s">
        <v>36</v>
      </c>
      <c r="H2" s="221" t="s">
        <v>36</v>
      </c>
    </row>
    <row r="3" spans="1:8">
      <c r="A3" s="58" t="s">
        <v>6</v>
      </c>
      <c r="B3" s="344"/>
      <c r="C3" s="50"/>
      <c r="D3" s="50"/>
      <c r="E3" s="50"/>
      <c r="F3" s="50"/>
      <c r="G3" s="50"/>
      <c r="H3" s="50"/>
    </row>
    <row r="4" spans="1:8">
      <c r="A4" s="5" t="s">
        <v>6</v>
      </c>
      <c r="B4" s="7" t="s">
        <v>14</v>
      </c>
      <c r="C4" s="22"/>
      <c r="D4" s="22"/>
      <c r="E4" s="22"/>
    </row>
    <row r="5" spans="1:8">
      <c r="A5" s="5" t="s">
        <v>6</v>
      </c>
      <c r="B5" s="128" t="s">
        <v>15</v>
      </c>
      <c r="C5" s="22"/>
      <c r="D5" s="22"/>
      <c r="E5" s="20"/>
    </row>
    <row r="6" spans="1:8">
      <c r="A6" s="5" t="s">
        <v>6</v>
      </c>
      <c r="B6" s="8" t="s">
        <v>16</v>
      </c>
      <c r="C6" s="6"/>
      <c r="D6" s="6"/>
    </row>
    <row r="7" spans="1:8" s="5" customFormat="1">
      <c r="A7"/>
      <c r="B7" s="31" t="s">
        <v>498</v>
      </c>
      <c r="C7" s="31" t="s">
        <v>7</v>
      </c>
      <c r="D7" s="31" t="s">
        <v>11</v>
      </c>
      <c r="E7" s="31" t="s">
        <v>10</v>
      </c>
      <c r="F7" s="31" t="s">
        <v>12</v>
      </c>
      <c r="G7" s="31" t="s">
        <v>8</v>
      </c>
      <c r="H7" s="31" t="s">
        <v>9</v>
      </c>
    </row>
    <row r="8" spans="1:8">
      <c r="B8" s="137" t="str">
        <f>'[1]Node Info'!$H$5</f>
        <v>INVIHR11AMB1SAEC01NK</v>
      </c>
      <c r="C8" s="24" t="s">
        <v>615</v>
      </c>
      <c r="D8" s="147" t="str">
        <f>'[1]Node Info'!$D$5</f>
        <v>Ambala Haryana</v>
      </c>
      <c r="E8" s="271" t="str">
        <f>IF(ISBLANK([1]System!$F$9),"NA",([1]System!$F$9))</f>
        <v>30.3752, 76.7821</v>
      </c>
      <c r="F8" s="129" t="s">
        <v>13</v>
      </c>
      <c r="G8" s="23" t="str">
        <f>[1]System!$F$18</f>
        <v xml:space="preserve">192.168.130.1 </v>
      </c>
      <c r="H8" s="23" t="str">
        <f>[1]System!$F$19</f>
        <v>192.168.130.2</v>
      </c>
    </row>
    <row r="9" spans="1:8">
      <c r="B9" s="138" t="str">
        <f>'[1]Node Info'!$H$6</f>
        <v>INVIHR11AMB1SAEU01NK</v>
      </c>
      <c r="C9" s="24" t="s">
        <v>615</v>
      </c>
      <c r="D9" s="147" t="str">
        <f>'[1]Node Info'!$D$6</f>
        <v>Ambala Haryana</v>
      </c>
      <c r="E9" s="271" t="str">
        <f>IF(ISBLANK([1]System!$F$9),"NA",([1]System!$F$9))</f>
        <v>30.3752, 76.7821</v>
      </c>
      <c r="F9" s="129" t="s">
        <v>13</v>
      </c>
      <c r="G9" s="23" t="str">
        <f>[1]System!$F$18</f>
        <v xml:space="preserve">192.168.130.1 </v>
      </c>
      <c r="H9" s="23" t="str">
        <f>[1]System!$F$19</f>
        <v>192.168.130.2</v>
      </c>
    </row>
    <row r="14" spans="1:8">
      <c r="E14" s="264"/>
    </row>
  </sheetData>
  <mergeCells count="1">
    <mergeCell ref="B1:B3"/>
  </mergeCells>
  <dataValidations count="1">
    <dataValidation type="custom" allowBlank="1" showInputMessage="1" showErrorMessage="1" errorTitle="Invalid IP Address" error="Please specify an IP address" sqref="G8:H9" xr:uid="{3D187447-7EF2-43E8-8D7E-094FD998ABF3}">
      <formula1>AND(--LEFT(G8,FIND(".",G8)-1)&lt;256, --(MID(SUBSTITUTE(G8,".",REPT(" ",99)),99,99))&lt;256, --(MID(SUBSTITUTE(G8,".",REPT(" ",99)),198,99))&lt;256, --MID(SUBSTITUTE(G8,".",REPT(" ",99)),297,99)&lt;256)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New">
                <anchor moveWithCells="1">
                  <from>
                    <xdr:col>3</xdr:col>
                    <xdr:colOff>388620</xdr:colOff>
                    <xdr:row>3</xdr:row>
                    <xdr:rowOff>99060</xdr:rowOff>
                  </from>
                  <to>
                    <xdr:col>4</xdr:col>
                    <xdr:colOff>449580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585A2-4383-49FD-9E9E-CDF534839877}">
  <sheetPr codeName="Sheet3"/>
  <dimension ref="A1:H47"/>
  <sheetViews>
    <sheetView topLeftCell="A16" zoomScale="80" zoomScaleNormal="80" workbookViewId="0">
      <selection activeCell="L15" sqref="L15"/>
    </sheetView>
  </sheetViews>
  <sheetFormatPr defaultRowHeight="14.4"/>
  <cols>
    <col min="1" max="1" width="3" bestFit="1" customWidth="1"/>
    <col min="2" max="2" width="23.5546875" bestFit="1" customWidth="1"/>
    <col min="3" max="3" width="8.21875" bestFit="1" customWidth="1"/>
    <col min="4" max="4" width="9.33203125" bestFit="1" customWidth="1"/>
    <col min="5" max="5" width="10" bestFit="1" customWidth="1"/>
    <col min="6" max="6" width="11.6640625" bestFit="1" customWidth="1"/>
    <col min="7" max="8" width="10" bestFit="1" customWidth="1"/>
  </cols>
  <sheetData>
    <row r="1" spans="1:8">
      <c r="A1" s="58" t="s">
        <v>6</v>
      </c>
      <c r="B1" s="344" t="s">
        <v>378</v>
      </c>
      <c r="C1" s="221" t="s">
        <v>536</v>
      </c>
      <c r="D1" s="52" t="s">
        <v>100</v>
      </c>
      <c r="E1" s="52" t="s">
        <v>102</v>
      </c>
      <c r="F1" s="221" t="s">
        <v>423</v>
      </c>
      <c r="G1" s="52" t="s">
        <v>102</v>
      </c>
      <c r="H1" s="52" t="s">
        <v>425</v>
      </c>
    </row>
    <row r="2" spans="1:8">
      <c r="A2" s="58" t="s">
        <v>6</v>
      </c>
      <c r="B2" s="344"/>
      <c r="C2" s="50"/>
      <c r="D2" s="51" t="s">
        <v>101</v>
      </c>
      <c r="E2" s="51" t="s">
        <v>103</v>
      </c>
      <c r="F2" s="221" t="s">
        <v>422</v>
      </c>
      <c r="G2" s="51" t="s">
        <v>36</v>
      </c>
      <c r="H2" s="51" t="s">
        <v>36</v>
      </c>
    </row>
    <row r="3" spans="1:8">
      <c r="A3" s="58" t="s">
        <v>6</v>
      </c>
      <c r="B3" s="344"/>
      <c r="C3" s="50"/>
      <c r="D3" s="51"/>
      <c r="E3" s="51"/>
      <c r="F3" s="221" t="s">
        <v>36</v>
      </c>
      <c r="G3" s="51"/>
      <c r="H3" s="51"/>
    </row>
    <row r="4" spans="1:8">
      <c r="A4" s="5" t="s">
        <v>6</v>
      </c>
      <c r="B4" s="7" t="s">
        <v>14</v>
      </c>
    </row>
    <row r="5" spans="1:8">
      <c r="A5" s="5" t="s">
        <v>6</v>
      </c>
      <c r="B5" s="128" t="s">
        <v>15</v>
      </c>
    </row>
    <row r="6" spans="1:8">
      <c r="A6" s="5" t="s">
        <v>6</v>
      </c>
      <c r="B6" s="8" t="s">
        <v>16</v>
      </c>
    </row>
    <row r="7" spans="1:8">
      <c r="B7" s="32" t="s">
        <v>17</v>
      </c>
      <c r="C7" s="32" t="s">
        <v>98</v>
      </c>
      <c r="D7" s="32" t="s">
        <v>99</v>
      </c>
      <c r="E7" s="32" t="s">
        <v>420</v>
      </c>
      <c r="F7" s="37" t="s">
        <v>421</v>
      </c>
      <c r="G7" s="37" t="s">
        <v>424</v>
      </c>
      <c r="H7" s="37" t="s">
        <v>511</v>
      </c>
    </row>
    <row r="8" spans="1:8" ht="20.25" customHeight="1">
      <c r="B8" s="135" t="str">
        <f>Node!B8</f>
        <v>INVIHR11AMB1SAEC01NK</v>
      </c>
      <c r="C8" s="129">
        <v>1</v>
      </c>
      <c r="D8" s="129" t="s">
        <v>100</v>
      </c>
      <c r="E8" s="129" t="s">
        <v>102</v>
      </c>
      <c r="F8" s="129" t="s">
        <v>36</v>
      </c>
      <c r="G8" s="129" t="s">
        <v>36</v>
      </c>
      <c r="H8" s="129" t="s">
        <v>36</v>
      </c>
    </row>
    <row r="9" spans="1:8">
      <c r="B9" s="36" t="str">
        <f>Node!B8</f>
        <v>INVIHR11AMB1SAEC01NK</v>
      </c>
      <c r="C9" s="129">
        <v>2</v>
      </c>
      <c r="D9" s="129" t="s">
        <v>100</v>
      </c>
      <c r="E9" s="129" t="s">
        <v>102</v>
      </c>
      <c r="F9" s="129" t="s">
        <v>36</v>
      </c>
      <c r="G9" s="129" t="s">
        <v>36</v>
      </c>
      <c r="H9" s="129" t="s">
        <v>36</v>
      </c>
    </row>
    <row r="10" spans="1:8">
      <c r="B10" s="36" t="str">
        <f>Node!B8</f>
        <v>INVIHR11AMB1SAEC01NK</v>
      </c>
      <c r="C10" s="129">
        <v>3</v>
      </c>
      <c r="D10" s="129" t="s">
        <v>101</v>
      </c>
      <c r="E10" s="129" t="s">
        <v>103</v>
      </c>
      <c r="F10" s="129" t="s">
        <v>36</v>
      </c>
      <c r="G10" s="129" t="s">
        <v>36</v>
      </c>
      <c r="H10" s="129" t="s">
        <v>36</v>
      </c>
    </row>
    <row r="11" spans="1:8">
      <c r="B11" s="36" t="str">
        <f>Node!B8</f>
        <v>INVIHR11AMB1SAEC01NK</v>
      </c>
      <c r="C11" s="129">
        <v>4</v>
      </c>
      <c r="D11" s="129" t="s">
        <v>101</v>
      </c>
      <c r="E11" s="129" t="s">
        <v>103</v>
      </c>
      <c r="F11" s="129" t="s">
        <v>36</v>
      </c>
      <c r="G11" s="129" t="s">
        <v>36</v>
      </c>
      <c r="H11" s="129" t="s">
        <v>36</v>
      </c>
    </row>
    <row r="12" spans="1:8">
      <c r="B12" s="36" t="str">
        <f>Node!B8</f>
        <v>INVIHR11AMB1SAEC01NK</v>
      </c>
      <c r="C12" s="129">
        <v>5</v>
      </c>
      <c r="D12" s="129" t="s">
        <v>101</v>
      </c>
      <c r="E12" s="129" t="s">
        <v>103</v>
      </c>
      <c r="F12" s="129" t="s">
        <v>36</v>
      </c>
      <c r="G12" s="129" t="s">
        <v>36</v>
      </c>
      <c r="H12" s="129" t="s">
        <v>36</v>
      </c>
    </row>
    <row r="13" spans="1:8">
      <c r="B13" s="36" t="str">
        <f>Node!B8</f>
        <v>INVIHR11AMB1SAEC01NK</v>
      </c>
      <c r="C13" s="129">
        <v>6</v>
      </c>
      <c r="D13" s="129" t="s">
        <v>101</v>
      </c>
      <c r="E13" s="129" t="s">
        <v>103</v>
      </c>
      <c r="F13" s="129" t="s">
        <v>36</v>
      </c>
      <c r="G13" s="129" t="s">
        <v>36</v>
      </c>
      <c r="H13" s="129" t="s">
        <v>36</v>
      </c>
    </row>
    <row r="14" spans="1:8">
      <c r="B14" s="36" t="str">
        <f>Node!B8</f>
        <v>INVIHR11AMB1SAEC01NK</v>
      </c>
      <c r="C14" s="129">
        <v>7</v>
      </c>
      <c r="D14" s="129" t="s">
        <v>101</v>
      </c>
      <c r="E14" s="129" t="s">
        <v>103</v>
      </c>
      <c r="F14" s="129" t="s">
        <v>36</v>
      </c>
      <c r="G14" s="129" t="s">
        <v>36</v>
      </c>
      <c r="H14" s="129" t="s">
        <v>36</v>
      </c>
    </row>
    <row r="15" spans="1:8">
      <c r="B15" s="36" t="str">
        <f>Node!B8</f>
        <v>INVIHR11AMB1SAEC01NK</v>
      </c>
      <c r="C15" s="129">
        <v>8</v>
      </c>
      <c r="D15" s="129" t="s">
        <v>101</v>
      </c>
      <c r="E15" s="129" t="s">
        <v>103</v>
      </c>
      <c r="F15" s="129" t="s">
        <v>36</v>
      </c>
      <c r="G15" s="129" t="s">
        <v>36</v>
      </c>
      <c r="H15" s="129" t="s">
        <v>36</v>
      </c>
    </row>
    <row r="16" spans="1:8">
      <c r="B16" s="36" t="str">
        <f>Node!B8</f>
        <v>INVIHR11AMB1SAEC01NK</v>
      </c>
      <c r="C16" s="129">
        <v>9</v>
      </c>
      <c r="D16" s="129" t="s">
        <v>101</v>
      </c>
      <c r="E16" s="129" t="s">
        <v>103</v>
      </c>
      <c r="F16" s="129" t="s">
        <v>36</v>
      </c>
      <c r="G16" s="129" t="s">
        <v>36</v>
      </c>
      <c r="H16" s="129" t="s">
        <v>36</v>
      </c>
    </row>
    <row r="17" spans="2:8">
      <c r="B17" s="36" t="str">
        <f>Node!B8</f>
        <v>INVIHR11AMB1SAEC01NK</v>
      </c>
      <c r="C17" s="129">
        <v>10</v>
      </c>
      <c r="D17" s="129" t="s">
        <v>101</v>
      </c>
      <c r="E17" s="129" t="s">
        <v>103</v>
      </c>
      <c r="F17" s="129" t="s">
        <v>36</v>
      </c>
      <c r="G17" s="129" t="s">
        <v>36</v>
      </c>
      <c r="H17" s="129" t="s">
        <v>36</v>
      </c>
    </row>
    <row r="18" spans="2:8">
      <c r="B18" s="36" t="str">
        <f>Node!B8</f>
        <v>INVIHR11AMB1SAEC01NK</v>
      </c>
      <c r="C18" s="129">
        <v>11</v>
      </c>
      <c r="D18" s="129" t="s">
        <v>101</v>
      </c>
      <c r="E18" s="129" t="s">
        <v>103</v>
      </c>
      <c r="F18" s="129" t="s">
        <v>36</v>
      </c>
      <c r="G18" s="129" t="s">
        <v>36</v>
      </c>
      <c r="H18" s="129" t="s">
        <v>36</v>
      </c>
    </row>
    <row r="19" spans="2:8">
      <c r="B19" s="36" t="str">
        <f>Node!B8</f>
        <v>INVIHR11AMB1SAEC01NK</v>
      </c>
      <c r="C19" s="129">
        <v>12</v>
      </c>
      <c r="D19" s="129" t="s">
        <v>101</v>
      </c>
      <c r="E19" s="129" t="s">
        <v>103</v>
      </c>
      <c r="F19" s="129" t="s">
        <v>36</v>
      </c>
      <c r="G19" s="129" t="s">
        <v>36</v>
      </c>
      <c r="H19" s="129" t="s">
        <v>36</v>
      </c>
    </row>
    <row r="20" spans="2:8">
      <c r="B20" s="36" t="str">
        <f>Node!B8</f>
        <v>INVIHR11AMB1SAEC01NK</v>
      </c>
      <c r="C20" s="129">
        <v>13</v>
      </c>
      <c r="D20" s="129" t="s">
        <v>101</v>
      </c>
      <c r="E20" s="129" t="s">
        <v>103</v>
      </c>
      <c r="F20" s="129" t="s">
        <v>36</v>
      </c>
      <c r="G20" s="129" t="s">
        <v>36</v>
      </c>
      <c r="H20" s="129" t="s">
        <v>36</v>
      </c>
    </row>
    <row r="21" spans="2:8">
      <c r="B21" s="36" t="str">
        <f>Node!B8</f>
        <v>INVIHR11AMB1SAEC01NK</v>
      </c>
      <c r="C21" s="129">
        <v>14</v>
      </c>
      <c r="D21" s="129" t="s">
        <v>101</v>
      </c>
      <c r="E21" s="129" t="s">
        <v>103</v>
      </c>
      <c r="F21" s="129" t="s">
        <v>36</v>
      </c>
      <c r="G21" s="129" t="s">
        <v>36</v>
      </c>
      <c r="H21" s="129" t="s">
        <v>36</v>
      </c>
    </row>
    <row r="22" spans="2:8">
      <c r="B22" s="36" t="str">
        <f>Node!B8</f>
        <v>INVIHR11AMB1SAEC01NK</v>
      </c>
      <c r="C22" s="129">
        <v>15</v>
      </c>
      <c r="D22" s="129" t="s">
        <v>101</v>
      </c>
      <c r="E22" s="129" t="s">
        <v>103</v>
      </c>
      <c r="F22" s="129" t="s">
        <v>36</v>
      </c>
      <c r="G22" s="129" t="s">
        <v>36</v>
      </c>
      <c r="H22" s="129" t="s">
        <v>36</v>
      </c>
    </row>
    <row r="23" spans="2:8">
      <c r="B23" s="36" t="str">
        <f>Node!B8</f>
        <v>INVIHR11AMB1SAEC01NK</v>
      </c>
      <c r="C23" s="129">
        <v>16</v>
      </c>
      <c r="D23" s="129" t="s">
        <v>101</v>
      </c>
      <c r="E23" s="129" t="s">
        <v>103</v>
      </c>
      <c r="F23" s="129" t="s">
        <v>36</v>
      </c>
      <c r="G23" s="129" t="s">
        <v>36</v>
      </c>
      <c r="H23" s="129" t="s">
        <v>36</v>
      </c>
    </row>
    <row r="24" spans="2:8">
      <c r="B24" s="36" t="str">
        <f>Node!B8</f>
        <v>INVIHR11AMB1SAEC01NK</v>
      </c>
      <c r="C24" s="129">
        <v>17</v>
      </c>
      <c r="D24" s="129" t="s">
        <v>101</v>
      </c>
      <c r="E24" s="129" t="s">
        <v>103</v>
      </c>
      <c r="F24" s="129" t="s">
        <v>36</v>
      </c>
      <c r="G24" s="129" t="s">
        <v>36</v>
      </c>
      <c r="H24" s="129" t="s">
        <v>36</v>
      </c>
    </row>
    <row r="25" spans="2:8">
      <c r="B25" s="36" t="str">
        <f>Node!B8</f>
        <v>INVIHR11AMB1SAEC01NK</v>
      </c>
      <c r="C25" s="129">
        <v>18</v>
      </c>
      <c r="D25" s="129" t="s">
        <v>101</v>
      </c>
      <c r="E25" s="129" t="s">
        <v>103</v>
      </c>
      <c r="F25" s="129" t="s">
        <v>36</v>
      </c>
      <c r="G25" s="129" t="s">
        <v>36</v>
      </c>
      <c r="H25" s="129" t="s">
        <v>36</v>
      </c>
    </row>
    <row r="26" spans="2:8">
      <c r="B26" s="36" t="str">
        <f>Node!B8</f>
        <v>INVIHR11AMB1SAEC01NK</v>
      </c>
      <c r="C26" s="129">
        <v>19</v>
      </c>
      <c r="D26" s="129" t="s">
        <v>101</v>
      </c>
      <c r="E26" s="129" t="s">
        <v>103</v>
      </c>
      <c r="F26" s="129" t="s">
        <v>36</v>
      </c>
      <c r="G26" s="129" t="s">
        <v>36</v>
      </c>
      <c r="H26" s="129" t="s">
        <v>36</v>
      </c>
    </row>
    <row r="27" spans="2:8">
      <c r="B27" s="36" t="str">
        <f>Node!B8</f>
        <v>INVIHR11AMB1SAEC01NK</v>
      </c>
      <c r="C27" s="129">
        <v>20</v>
      </c>
      <c r="D27" s="129" t="s">
        <v>101</v>
      </c>
      <c r="E27" s="129" t="s">
        <v>103</v>
      </c>
      <c r="F27" s="129" t="s">
        <v>36</v>
      </c>
      <c r="G27" s="129" t="s">
        <v>36</v>
      </c>
      <c r="H27" s="129" t="s">
        <v>36</v>
      </c>
    </row>
    <row r="28" spans="2:8">
      <c r="B28" s="134" t="str">
        <f>Node!B9</f>
        <v>INVIHR11AMB1SAEU01NK</v>
      </c>
      <c r="C28" s="129">
        <v>1</v>
      </c>
      <c r="D28" s="129" t="s">
        <v>100</v>
      </c>
      <c r="E28" s="129" t="s">
        <v>102</v>
      </c>
      <c r="F28" s="129" t="s">
        <v>423</v>
      </c>
      <c r="G28" s="129" t="s">
        <v>36</v>
      </c>
      <c r="H28" s="129" t="s">
        <v>36</v>
      </c>
    </row>
    <row r="29" spans="2:8">
      <c r="B29" s="38" t="str">
        <f>Node!B9</f>
        <v>INVIHR11AMB1SAEU01NK</v>
      </c>
      <c r="C29" s="129">
        <v>2</v>
      </c>
      <c r="D29" s="129" t="s">
        <v>100</v>
      </c>
      <c r="E29" s="129" t="s">
        <v>102</v>
      </c>
      <c r="F29" s="129" t="s">
        <v>423</v>
      </c>
      <c r="G29" s="129" t="s">
        <v>36</v>
      </c>
      <c r="H29" s="129" t="s">
        <v>36</v>
      </c>
    </row>
    <row r="30" spans="2:8">
      <c r="B30" s="38" t="str">
        <f>Node!B9</f>
        <v>INVIHR11AMB1SAEU01NK</v>
      </c>
      <c r="C30" s="129">
        <v>3</v>
      </c>
      <c r="D30" s="129" t="s">
        <v>101</v>
      </c>
      <c r="E30" s="129" t="s">
        <v>103</v>
      </c>
      <c r="F30" s="129" t="s">
        <v>422</v>
      </c>
      <c r="G30" s="129" t="s">
        <v>102</v>
      </c>
      <c r="H30" s="129" t="s">
        <v>425</v>
      </c>
    </row>
    <row r="31" spans="2:8">
      <c r="B31" s="38" t="str">
        <f>Node!B9</f>
        <v>INVIHR11AMB1SAEU01NK</v>
      </c>
      <c r="C31" s="129">
        <v>4</v>
      </c>
      <c r="D31" s="129" t="s">
        <v>101</v>
      </c>
      <c r="E31" s="129" t="s">
        <v>103</v>
      </c>
      <c r="F31" s="129" t="s">
        <v>422</v>
      </c>
      <c r="G31" s="129" t="s">
        <v>102</v>
      </c>
      <c r="H31" s="129" t="s">
        <v>425</v>
      </c>
    </row>
    <row r="32" spans="2:8">
      <c r="B32" s="38" t="str">
        <f>Node!B9</f>
        <v>INVIHR11AMB1SAEU01NK</v>
      </c>
      <c r="C32" s="129">
        <v>5</v>
      </c>
      <c r="D32" s="129" t="s">
        <v>101</v>
      </c>
      <c r="E32" s="129" t="s">
        <v>103</v>
      </c>
      <c r="F32" s="129" t="s">
        <v>422</v>
      </c>
      <c r="G32" s="129" t="s">
        <v>102</v>
      </c>
      <c r="H32" s="129" t="s">
        <v>425</v>
      </c>
    </row>
    <row r="33" spans="2:8">
      <c r="B33" s="38" t="str">
        <f>Node!B9</f>
        <v>INVIHR11AMB1SAEU01NK</v>
      </c>
      <c r="C33" s="129">
        <v>6</v>
      </c>
      <c r="D33" s="129" t="s">
        <v>101</v>
      </c>
      <c r="E33" s="129" t="s">
        <v>103</v>
      </c>
      <c r="F33" s="129" t="s">
        <v>422</v>
      </c>
      <c r="G33" s="129" t="s">
        <v>102</v>
      </c>
      <c r="H33" s="129" t="s">
        <v>425</v>
      </c>
    </row>
    <row r="34" spans="2:8">
      <c r="B34" s="38" t="str">
        <f>Node!B9</f>
        <v>INVIHR11AMB1SAEU01NK</v>
      </c>
      <c r="C34" s="129">
        <v>7</v>
      </c>
      <c r="D34" s="129" t="s">
        <v>101</v>
      </c>
      <c r="E34" s="129" t="s">
        <v>103</v>
      </c>
      <c r="F34" s="129" t="s">
        <v>422</v>
      </c>
      <c r="G34" s="129" t="s">
        <v>102</v>
      </c>
      <c r="H34" s="129" t="s">
        <v>425</v>
      </c>
    </row>
    <row r="35" spans="2:8">
      <c r="B35" s="38" t="str">
        <f>Node!B9</f>
        <v>INVIHR11AMB1SAEU01NK</v>
      </c>
      <c r="C35" s="129">
        <v>8</v>
      </c>
      <c r="D35" s="129" t="s">
        <v>101</v>
      </c>
      <c r="E35" s="129" t="s">
        <v>103</v>
      </c>
      <c r="F35" s="129" t="s">
        <v>422</v>
      </c>
      <c r="G35" s="129" t="s">
        <v>102</v>
      </c>
      <c r="H35" s="129" t="s">
        <v>425</v>
      </c>
    </row>
    <row r="36" spans="2:8">
      <c r="B36" s="38" t="str">
        <f>Node!B9</f>
        <v>INVIHR11AMB1SAEU01NK</v>
      </c>
      <c r="C36" s="129">
        <v>9</v>
      </c>
      <c r="D36" s="129" t="s">
        <v>101</v>
      </c>
      <c r="E36" s="129" t="s">
        <v>103</v>
      </c>
      <c r="F36" s="129" t="s">
        <v>422</v>
      </c>
      <c r="G36" s="129" t="s">
        <v>102</v>
      </c>
      <c r="H36" s="129" t="s">
        <v>425</v>
      </c>
    </row>
    <row r="37" spans="2:8">
      <c r="B37" s="38" t="str">
        <f>Node!B9</f>
        <v>INVIHR11AMB1SAEU01NK</v>
      </c>
      <c r="C37" s="129">
        <v>10</v>
      </c>
      <c r="D37" s="129" t="s">
        <v>101</v>
      </c>
      <c r="E37" s="129" t="s">
        <v>103</v>
      </c>
      <c r="F37" s="129" t="s">
        <v>422</v>
      </c>
      <c r="G37" s="129" t="s">
        <v>102</v>
      </c>
      <c r="H37" s="129" t="s">
        <v>425</v>
      </c>
    </row>
    <row r="38" spans="2:8">
      <c r="B38" s="38" t="str">
        <f>Node!B9</f>
        <v>INVIHR11AMB1SAEU01NK</v>
      </c>
      <c r="C38" s="129">
        <v>11</v>
      </c>
      <c r="D38" s="129" t="s">
        <v>101</v>
      </c>
      <c r="E38" s="129" t="s">
        <v>103</v>
      </c>
      <c r="F38" s="129" t="s">
        <v>422</v>
      </c>
      <c r="G38" s="129" t="s">
        <v>102</v>
      </c>
      <c r="H38" s="129" t="s">
        <v>425</v>
      </c>
    </row>
    <row r="39" spans="2:8">
      <c r="B39" s="38" t="str">
        <f>Node!B9</f>
        <v>INVIHR11AMB1SAEU01NK</v>
      </c>
      <c r="C39" s="129">
        <v>12</v>
      </c>
      <c r="D39" s="129" t="s">
        <v>101</v>
      </c>
      <c r="E39" s="129" t="s">
        <v>103</v>
      </c>
      <c r="F39" s="129" t="s">
        <v>422</v>
      </c>
      <c r="G39" s="129" t="s">
        <v>102</v>
      </c>
      <c r="H39" s="129" t="s">
        <v>425</v>
      </c>
    </row>
    <row r="40" spans="2:8">
      <c r="B40" s="38" t="str">
        <f>Node!B9</f>
        <v>INVIHR11AMB1SAEU01NK</v>
      </c>
      <c r="C40" s="129">
        <v>13</v>
      </c>
      <c r="D40" s="129" t="s">
        <v>101</v>
      </c>
      <c r="E40" s="129" t="s">
        <v>103</v>
      </c>
      <c r="F40" s="129" t="s">
        <v>422</v>
      </c>
      <c r="G40" s="129" t="s">
        <v>102</v>
      </c>
      <c r="H40" s="129" t="s">
        <v>425</v>
      </c>
    </row>
    <row r="41" spans="2:8">
      <c r="B41" s="38" t="str">
        <f>Node!B9</f>
        <v>INVIHR11AMB1SAEU01NK</v>
      </c>
      <c r="C41" s="129">
        <v>14</v>
      </c>
      <c r="D41" s="129" t="s">
        <v>101</v>
      </c>
      <c r="E41" s="129" t="s">
        <v>103</v>
      </c>
      <c r="F41" s="129" t="s">
        <v>422</v>
      </c>
      <c r="G41" s="129" t="s">
        <v>102</v>
      </c>
      <c r="H41" s="129" t="s">
        <v>425</v>
      </c>
    </row>
    <row r="42" spans="2:8">
      <c r="B42" s="38" t="str">
        <f>Node!B9</f>
        <v>INVIHR11AMB1SAEU01NK</v>
      </c>
      <c r="C42" s="129">
        <v>15</v>
      </c>
      <c r="D42" s="129" t="s">
        <v>101</v>
      </c>
      <c r="E42" s="129" t="s">
        <v>103</v>
      </c>
      <c r="F42" s="129" t="s">
        <v>422</v>
      </c>
      <c r="G42" s="129" t="s">
        <v>102</v>
      </c>
      <c r="H42" s="129" t="s">
        <v>425</v>
      </c>
    </row>
    <row r="43" spans="2:8">
      <c r="B43" s="38" t="str">
        <f>Node!B9</f>
        <v>INVIHR11AMB1SAEU01NK</v>
      </c>
      <c r="C43" s="129">
        <v>16</v>
      </c>
      <c r="D43" s="129" t="s">
        <v>101</v>
      </c>
      <c r="E43" s="129" t="s">
        <v>103</v>
      </c>
      <c r="F43" s="129" t="s">
        <v>422</v>
      </c>
      <c r="G43" s="129" t="s">
        <v>102</v>
      </c>
      <c r="H43" s="129" t="s">
        <v>425</v>
      </c>
    </row>
    <row r="44" spans="2:8">
      <c r="B44" s="38" t="str">
        <f>Node!B9</f>
        <v>INVIHR11AMB1SAEU01NK</v>
      </c>
      <c r="C44" s="129">
        <v>17</v>
      </c>
      <c r="D44" s="129" t="s">
        <v>101</v>
      </c>
      <c r="E44" s="129" t="s">
        <v>103</v>
      </c>
      <c r="F44" s="129" t="s">
        <v>422</v>
      </c>
      <c r="G44" s="129" t="s">
        <v>102</v>
      </c>
      <c r="H44" s="129" t="s">
        <v>425</v>
      </c>
    </row>
    <row r="45" spans="2:8">
      <c r="B45" s="38" t="str">
        <f>Node!B9</f>
        <v>INVIHR11AMB1SAEU01NK</v>
      </c>
      <c r="C45" s="129">
        <v>18</v>
      </c>
      <c r="D45" s="129" t="s">
        <v>101</v>
      </c>
      <c r="E45" s="129" t="s">
        <v>103</v>
      </c>
      <c r="F45" s="129" t="s">
        <v>422</v>
      </c>
      <c r="G45" s="129" t="s">
        <v>102</v>
      </c>
      <c r="H45" s="129" t="s">
        <v>425</v>
      </c>
    </row>
    <row r="46" spans="2:8">
      <c r="B46" s="38" t="str">
        <f>Node!B9</f>
        <v>INVIHR11AMB1SAEU01NK</v>
      </c>
      <c r="C46" s="129">
        <v>19</v>
      </c>
      <c r="D46" s="129" t="s">
        <v>101</v>
      </c>
      <c r="E46" s="129" t="s">
        <v>103</v>
      </c>
      <c r="F46" s="129" t="s">
        <v>422</v>
      </c>
      <c r="G46" s="129" t="s">
        <v>102</v>
      </c>
      <c r="H46" s="129" t="s">
        <v>425</v>
      </c>
    </row>
    <row r="47" spans="2:8">
      <c r="B47" s="38" t="str">
        <f>Node!B9</f>
        <v>INVIHR11AMB1SAEU01NK</v>
      </c>
      <c r="C47" s="129">
        <v>20</v>
      </c>
      <c r="D47" s="129" t="s">
        <v>101</v>
      </c>
      <c r="E47" s="129" t="s">
        <v>103</v>
      </c>
      <c r="F47" s="129" t="s">
        <v>422</v>
      </c>
      <c r="G47" s="129" t="s">
        <v>102</v>
      </c>
      <c r="H47" s="129" t="s">
        <v>425</v>
      </c>
    </row>
  </sheetData>
  <mergeCells count="1">
    <mergeCell ref="B1:B3"/>
  </mergeCells>
  <dataValidations count="5">
    <dataValidation type="list" allowBlank="1" showInputMessage="1" showErrorMessage="1" sqref="D8:D47" xr:uid="{4708FBA8-45F3-46E5-9394-212575B6FE5D}">
      <formula1>$D$1:$D$3</formula1>
    </dataValidation>
    <dataValidation type="list" allowBlank="1" showInputMessage="1" showErrorMessage="1" sqref="E8:E47" xr:uid="{E35AA865-C706-482C-8C64-C4F4EB016A15}">
      <formula1>$E$1:$E$3</formula1>
    </dataValidation>
    <dataValidation type="list" allowBlank="1" showInputMessage="1" showErrorMessage="1" sqref="F8:F66" xr:uid="{FED12E27-9F00-4133-85E5-CFA8EF1E92B3}">
      <formula1>$F$1:$F$3</formula1>
    </dataValidation>
    <dataValidation type="list" allowBlank="1" showInputMessage="1" showErrorMessage="1" sqref="G8:G47" xr:uid="{91938F41-BF11-4371-8BDA-C37D9AC45423}">
      <formula1>$G$1:$G$3</formula1>
    </dataValidation>
    <dataValidation type="list" allowBlank="1" showInputMessage="1" showErrorMessage="1" sqref="H8:H47" xr:uid="{F024BBE6-768D-4A0C-9C94-AF012B2169E3}">
      <formula1>$H$1:$H$3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New">
                <anchor moveWithCells="1">
                  <from>
                    <xdr:col>4</xdr:col>
                    <xdr:colOff>160020</xdr:colOff>
                    <xdr:row>4</xdr:row>
                    <xdr:rowOff>0</xdr:rowOff>
                  </from>
                  <to>
                    <xdr:col>5</xdr:col>
                    <xdr:colOff>441960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885A6-4259-4765-ACFA-F338BA2ABCBA}">
  <sheetPr codeName="Sheet18"/>
  <dimension ref="A1:H87"/>
  <sheetViews>
    <sheetView topLeftCell="A28" workbookViewId="0">
      <selection activeCell="G44" sqref="G44"/>
    </sheetView>
  </sheetViews>
  <sheetFormatPr defaultRowHeight="14.4"/>
  <cols>
    <col min="1" max="1" width="3" bestFit="1" customWidth="1"/>
    <col min="2" max="2" width="23.44140625" bestFit="1" customWidth="1"/>
    <col min="3" max="3" width="8.109375" bestFit="1" customWidth="1"/>
    <col min="4" max="4" width="6.88671875" bestFit="1" customWidth="1"/>
    <col min="5" max="5" width="14.109375" bestFit="1" customWidth="1"/>
    <col min="6" max="6" width="9.5546875" bestFit="1" customWidth="1"/>
    <col min="7" max="7" width="13.88671875" bestFit="1" customWidth="1"/>
    <col min="8" max="8" width="8.109375" bestFit="1" customWidth="1"/>
  </cols>
  <sheetData>
    <row r="1" spans="1:8">
      <c r="A1" s="58" t="s">
        <v>6</v>
      </c>
      <c r="B1" s="344" t="s">
        <v>378</v>
      </c>
      <c r="C1" s="221" t="s">
        <v>536</v>
      </c>
      <c r="D1" s="221" t="s">
        <v>536</v>
      </c>
      <c r="E1" s="221" t="s">
        <v>536</v>
      </c>
      <c r="F1" s="51" t="s">
        <v>541</v>
      </c>
      <c r="G1" s="51" t="s">
        <v>542</v>
      </c>
      <c r="H1" s="51">
        <v>9000</v>
      </c>
    </row>
    <row r="2" spans="1:8">
      <c r="A2" s="58" t="s">
        <v>6</v>
      </c>
      <c r="B2" s="344"/>
      <c r="C2" s="50"/>
      <c r="D2" s="51"/>
      <c r="E2" s="51"/>
      <c r="F2" s="51" t="s">
        <v>580</v>
      </c>
      <c r="G2" s="51" t="s">
        <v>36</v>
      </c>
      <c r="H2" s="51" t="s">
        <v>36</v>
      </c>
    </row>
    <row r="3" spans="1:8">
      <c r="A3" s="58" t="s">
        <v>6</v>
      </c>
      <c r="B3" s="344"/>
      <c r="C3" s="50"/>
      <c r="D3" s="51"/>
      <c r="E3" s="51"/>
      <c r="F3" s="51" t="s">
        <v>36</v>
      </c>
      <c r="G3" s="51"/>
      <c r="H3" s="51"/>
    </row>
    <row r="4" spans="1:8">
      <c r="A4" s="5" t="s">
        <v>6</v>
      </c>
      <c r="B4" s="7" t="s">
        <v>14</v>
      </c>
    </row>
    <row r="5" spans="1:8">
      <c r="A5" s="5" t="s">
        <v>6</v>
      </c>
      <c r="B5" s="128" t="s">
        <v>15</v>
      </c>
    </row>
    <row r="6" spans="1:8">
      <c r="A6" s="5" t="s">
        <v>6</v>
      </c>
      <c r="B6" s="8" t="s">
        <v>16</v>
      </c>
    </row>
    <row r="7" spans="1:8">
      <c r="B7" s="32" t="s">
        <v>17</v>
      </c>
      <c r="C7" s="32" t="s">
        <v>98</v>
      </c>
      <c r="D7" s="32" t="s">
        <v>19</v>
      </c>
      <c r="E7" s="37" t="s">
        <v>537</v>
      </c>
      <c r="F7" s="37" t="s">
        <v>538</v>
      </c>
      <c r="G7" s="37" t="s">
        <v>539</v>
      </c>
      <c r="H7" s="37" t="s">
        <v>540</v>
      </c>
    </row>
    <row r="8" spans="1:8">
      <c r="B8" s="136" t="str">
        <f>Node!B8</f>
        <v>INVIHR11AMB1SAEC01NK</v>
      </c>
      <c r="C8" s="130">
        <v>1</v>
      </c>
      <c r="D8" s="131" t="s">
        <v>37</v>
      </c>
      <c r="E8" s="129" t="s">
        <v>616</v>
      </c>
      <c r="F8" s="132" t="s">
        <v>541</v>
      </c>
      <c r="G8" s="132" t="s">
        <v>542</v>
      </c>
      <c r="H8" s="132" t="s">
        <v>36</v>
      </c>
    </row>
    <row r="9" spans="1:8">
      <c r="B9" s="34" t="str">
        <f>Node!B8</f>
        <v>INVIHR11AMB1SAEC01NK</v>
      </c>
      <c r="C9" s="130">
        <v>1</v>
      </c>
      <c r="D9" s="131" t="s">
        <v>38</v>
      </c>
      <c r="E9" s="129" t="s">
        <v>617</v>
      </c>
      <c r="F9" s="132" t="s">
        <v>541</v>
      </c>
      <c r="G9" s="132" t="s">
        <v>542</v>
      </c>
      <c r="H9" s="132" t="s">
        <v>36</v>
      </c>
    </row>
    <row r="10" spans="1:8">
      <c r="B10" s="34" t="str">
        <f>Node!B8</f>
        <v>INVIHR11AMB1SAEC01NK</v>
      </c>
      <c r="C10" s="130">
        <v>1</v>
      </c>
      <c r="D10" s="131" t="s">
        <v>1438</v>
      </c>
      <c r="E10" s="129" t="s">
        <v>1456</v>
      </c>
      <c r="F10" s="132" t="s">
        <v>580</v>
      </c>
      <c r="G10" s="132" t="s">
        <v>36</v>
      </c>
      <c r="H10" s="132">
        <v>9000</v>
      </c>
    </row>
    <row r="11" spans="1:8">
      <c r="B11" s="34" t="str">
        <f>Node!B8</f>
        <v>INVIHR11AMB1SAEC01NK</v>
      </c>
      <c r="C11" s="130">
        <v>1</v>
      </c>
      <c r="D11" s="131" t="s">
        <v>1439</v>
      </c>
      <c r="E11" s="129" t="s">
        <v>1457</v>
      </c>
      <c r="F11" s="132" t="s">
        <v>580</v>
      </c>
      <c r="G11" s="132" t="s">
        <v>36</v>
      </c>
      <c r="H11" s="132">
        <v>9000</v>
      </c>
    </row>
    <row r="12" spans="1:8">
      <c r="B12" s="34" t="str">
        <f>Node!B8</f>
        <v>INVIHR11AMB1SAEC01NK</v>
      </c>
      <c r="C12" s="130">
        <v>1</v>
      </c>
      <c r="D12" s="131" t="s">
        <v>1440</v>
      </c>
      <c r="E12" s="129" t="s">
        <v>1458</v>
      </c>
      <c r="F12" s="132" t="s">
        <v>580</v>
      </c>
      <c r="G12" s="132" t="s">
        <v>36</v>
      </c>
      <c r="H12" s="132">
        <v>9000</v>
      </c>
    </row>
    <row r="13" spans="1:8">
      <c r="B13" s="34" t="str">
        <f>Node!B8</f>
        <v>INVIHR11AMB1SAEC01NK</v>
      </c>
      <c r="C13" s="130">
        <v>1</v>
      </c>
      <c r="D13" s="131" t="s">
        <v>1441</v>
      </c>
      <c r="E13" s="129" t="s">
        <v>1459</v>
      </c>
      <c r="F13" s="132" t="s">
        <v>580</v>
      </c>
      <c r="G13" s="132" t="s">
        <v>36</v>
      </c>
      <c r="H13" s="132">
        <v>9000</v>
      </c>
    </row>
    <row r="14" spans="1:8">
      <c r="B14" s="34" t="str">
        <f>Node!B8</f>
        <v>INVIHR11AMB1SAEC01NK</v>
      </c>
      <c r="C14" s="130">
        <v>1</v>
      </c>
      <c r="D14" s="131" t="s">
        <v>1442</v>
      </c>
      <c r="E14" s="129" t="s">
        <v>1460</v>
      </c>
      <c r="F14" s="132" t="s">
        <v>580</v>
      </c>
      <c r="G14" s="132" t="s">
        <v>36</v>
      </c>
      <c r="H14" s="132">
        <v>9000</v>
      </c>
    </row>
    <row r="15" spans="1:8">
      <c r="B15" s="34" t="str">
        <f>Node!B8</f>
        <v>INVIHR11AMB1SAEC01NK</v>
      </c>
      <c r="C15" s="130">
        <v>1</v>
      </c>
      <c r="D15" s="131" t="s">
        <v>1443</v>
      </c>
      <c r="E15" s="129" t="s">
        <v>1461</v>
      </c>
      <c r="F15" s="132" t="s">
        <v>580</v>
      </c>
      <c r="G15" s="132" t="s">
        <v>36</v>
      </c>
      <c r="H15" s="132">
        <v>9000</v>
      </c>
    </row>
    <row r="16" spans="1:8">
      <c r="B16" s="34" t="str">
        <f>Node!B8</f>
        <v>INVIHR11AMB1SAEC01NK</v>
      </c>
      <c r="C16" s="130">
        <v>1</v>
      </c>
      <c r="D16" s="131" t="s">
        <v>1444</v>
      </c>
      <c r="E16" s="129" t="s">
        <v>1462</v>
      </c>
      <c r="F16" s="132" t="s">
        <v>580</v>
      </c>
      <c r="G16" s="132" t="s">
        <v>36</v>
      </c>
      <c r="H16" s="132">
        <v>9000</v>
      </c>
    </row>
    <row r="17" spans="2:8">
      <c r="B17" s="34" t="str">
        <f>Node!B8</f>
        <v>INVIHR11AMB1SAEC01NK</v>
      </c>
      <c r="C17" s="130">
        <v>1</v>
      </c>
      <c r="D17" s="131" t="s">
        <v>1445</v>
      </c>
      <c r="E17" s="129" t="s">
        <v>1463</v>
      </c>
      <c r="F17" s="132" t="s">
        <v>580</v>
      </c>
      <c r="G17" s="132" t="s">
        <v>36</v>
      </c>
      <c r="H17" s="132">
        <v>9000</v>
      </c>
    </row>
    <row r="18" spans="2:8">
      <c r="B18" s="34" t="str">
        <f>Node!B8</f>
        <v>INVIHR11AMB1SAEC01NK</v>
      </c>
      <c r="C18" s="130">
        <v>1</v>
      </c>
      <c r="D18" s="131" t="s">
        <v>1446</v>
      </c>
      <c r="E18" s="129" t="s">
        <v>1464</v>
      </c>
      <c r="F18" s="132" t="s">
        <v>580</v>
      </c>
      <c r="G18" s="132" t="s">
        <v>36</v>
      </c>
      <c r="H18" s="132">
        <v>9000</v>
      </c>
    </row>
    <row r="19" spans="2:8">
      <c r="B19" s="34" t="str">
        <f>Node!B8</f>
        <v>INVIHR11AMB1SAEC01NK</v>
      </c>
      <c r="C19" s="130">
        <v>1</v>
      </c>
      <c r="D19" s="131" t="s">
        <v>1447</v>
      </c>
      <c r="E19" s="129" t="s">
        <v>1465</v>
      </c>
      <c r="F19" s="132" t="s">
        <v>580</v>
      </c>
      <c r="G19" s="132" t="s">
        <v>36</v>
      </c>
      <c r="H19" s="132">
        <v>9000</v>
      </c>
    </row>
    <row r="20" spans="2:8">
      <c r="B20" s="34" t="str">
        <f>Node!B8</f>
        <v>INVIHR11AMB1SAEC01NK</v>
      </c>
      <c r="C20" s="130">
        <v>1</v>
      </c>
      <c r="D20" s="131" t="s">
        <v>1448</v>
      </c>
      <c r="E20" s="129" t="s">
        <v>1466</v>
      </c>
      <c r="F20" s="132" t="s">
        <v>580</v>
      </c>
      <c r="G20" s="132" t="s">
        <v>36</v>
      </c>
      <c r="H20" s="132">
        <v>9000</v>
      </c>
    </row>
    <row r="21" spans="2:8">
      <c r="B21" s="34" t="str">
        <f>Node!B8</f>
        <v>INVIHR11AMB1SAEC01NK</v>
      </c>
      <c r="C21" s="130">
        <v>1</v>
      </c>
      <c r="D21" s="131" t="s">
        <v>1449</v>
      </c>
      <c r="E21" s="129" t="s">
        <v>1467</v>
      </c>
      <c r="F21" s="132" t="s">
        <v>580</v>
      </c>
      <c r="G21" s="132" t="s">
        <v>36</v>
      </c>
      <c r="H21" s="132">
        <v>9000</v>
      </c>
    </row>
    <row r="22" spans="2:8">
      <c r="B22" s="34" t="str">
        <f>Node!B8</f>
        <v>INVIHR11AMB1SAEC01NK</v>
      </c>
      <c r="C22" s="130">
        <v>1</v>
      </c>
      <c r="D22" s="131" t="s">
        <v>1450</v>
      </c>
      <c r="E22" s="129" t="s">
        <v>1468</v>
      </c>
      <c r="F22" s="132" t="s">
        <v>580</v>
      </c>
      <c r="G22" s="132" t="s">
        <v>36</v>
      </c>
      <c r="H22" s="132">
        <v>9000</v>
      </c>
    </row>
    <row r="23" spans="2:8">
      <c r="B23" s="34" t="str">
        <f>Node!B8</f>
        <v>INVIHR11AMB1SAEC01NK</v>
      </c>
      <c r="C23" s="130">
        <v>1</v>
      </c>
      <c r="D23" s="131" t="s">
        <v>1451</v>
      </c>
      <c r="E23" s="129" t="s">
        <v>1469</v>
      </c>
      <c r="F23" s="132" t="s">
        <v>580</v>
      </c>
      <c r="G23" s="132" t="s">
        <v>36</v>
      </c>
      <c r="H23" s="132">
        <v>9000</v>
      </c>
    </row>
    <row r="24" spans="2:8">
      <c r="B24" s="34" t="str">
        <f>Node!B8</f>
        <v>INVIHR11AMB1SAEC01NK</v>
      </c>
      <c r="C24" s="130">
        <v>1</v>
      </c>
      <c r="D24" s="131" t="s">
        <v>1452</v>
      </c>
      <c r="E24" s="129" t="s">
        <v>1470</v>
      </c>
      <c r="F24" s="132" t="s">
        <v>580</v>
      </c>
      <c r="G24" s="132" t="s">
        <v>36</v>
      </c>
      <c r="H24" s="132">
        <v>9000</v>
      </c>
    </row>
    <row r="25" spans="2:8">
      <c r="B25" s="34" t="str">
        <f>Node!B8</f>
        <v>INVIHR11AMB1SAEC01NK</v>
      </c>
      <c r="C25" s="130">
        <v>1</v>
      </c>
      <c r="D25" s="131" t="s">
        <v>1453</v>
      </c>
      <c r="E25" s="129" t="s">
        <v>1471</v>
      </c>
      <c r="F25" s="132" t="s">
        <v>580</v>
      </c>
      <c r="G25" s="132" t="s">
        <v>36</v>
      </c>
      <c r="H25" s="132">
        <v>9000</v>
      </c>
    </row>
    <row r="26" spans="2:8">
      <c r="B26" s="34" t="str">
        <f>Node!B8</f>
        <v>INVIHR11AMB1SAEC01NK</v>
      </c>
      <c r="C26" s="130">
        <v>1</v>
      </c>
      <c r="D26" s="131" t="s">
        <v>1454</v>
      </c>
      <c r="E26" s="129" t="s">
        <v>1472</v>
      </c>
      <c r="F26" s="132" t="s">
        <v>580</v>
      </c>
      <c r="G26" s="132" t="s">
        <v>36</v>
      </c>
      <c r="H26" s="132">
        <v>9000</v>
      </c>
    </row>
    <row r="27" spans="2:8">
      <c r="B27" s="34" t="str">
        <f>Node!B8</f>
        <v>INVIHR11AMB1SAEC01NK</v>
      </c>
      <c r="C27" s="130">
        <v>1</v>
      </c>
      <c r="D27" s="131" t="s">
        <v>1455</v>
      </c>
      <c r="E27" s="129" t="s">
        <v>1473</v>
      </c>
      <c r="F27" s="132" t="s">
        <v>580</v>
      </c>
      <c r="G27" s="132" t="s">
        <v>36</v>
      </c>
      <c r="H27" s="132">
        <v>9000</v>
      </c>
    </row>
    <row r="28" spans="2:8">
      <c r="B28" s="34" t="str">
        <f>Node!B8</f>
        <v>INVIHR11AMB1SAEC01NK</v>
      </c>
      <c r="C28" s="130">
        <v>2</v>
      </c>
      <c r="D28" s="131" t="s">
        <v>39</v>
      </c>
      <c r="E28" s="129" t="s">
        <v>618</v>
      </c>
      <c r="F28" s="132" t="s">
        <v>541</v>
      </c>
      <c r="G28" s="132" t="s">
        <v>542</v>
      </c>
      <c r="H28" s="132" t="s">
        <v>36</v>
      </c>
    </row>
    <row r="29" spans="2:8">
      <c r="B29" s="34" t="str">
        <f>Node!B8</f>
        <v>INVIHR11AMB1SAEC01NK</v>
      </c>
      <c r="C29" s="130">
        <v>2</v>
      </c>
      <c r="D29" s="131" t="s">
        <v>40</v>
      </c>
      <c r="E29" s="129" t="s">
        <v>619</v>
      </c>
      <c r="F29" s="132" t="s">
        <v>541</v>
      </c>
      <c r="G29" s="132" t="s">
        <v>542</v>
      </c>
      <c r="H29" s="132" t="s">
        <v>36</v>
      </c>
    </row>
    <row r="30" spans="2:8">
      <c r="B30" s="34" t="str">
        <f>Node!B8</f>
        <v>INVIHR11AMB1SAEC01NK</v>
      </c>
      <c r="C30" s="130">
        <v>2</v>
      </c>
      <c r="D30" s="131" t="s">
        <v>1474</v>
      </c>
      <c r="E30" s="129" t="s">
        <v>1480</v>
      </c>
      <c r="F30" s="132" t="s">
        <v>580</v>
      </c>
      <c r="G30" s="132" t="s">
        <v>36</v>
      </c>
      <c r="H30" s="132">
        <v>9000</v>
      </c>
    </row>
    <row r="31" spans="2:8">
      <c r="B31" s="34" t="str">
        <f>Node!B8</f>
        <v>INVIHR11AMB1SAEC01NK</v>
      </c>
      <c r="C31" s="130">
        <v>2</v>
      </c>
      <c r="D31" s="131" t="s">
        <v>1475</v>
      </c>
      <c r="E31" s="129" t="s">
        <v>1481</v>
      </c>
      <c r="F31" s="132" t="s">
        <v>580</v>
      </c>
      <c r="G31" s="132" t="s">
        <v>36</v>
      </c>
      <c r="H31" s="132">
        <v>9000</v>
      </c>
    </row>
    <row r="32" spans="2:8">
      <c r="B32" s="34" t="str">
        <f>Node!B8</f>
        <v>INVIHR11AMB1SAEC01NK</v>
      </c>
      <c r="C32" s="130">
        <v>2</v>
      </c>
      <c r="D32" s="131" t="s">
        <v>1476</v>
      </c>
      <c r="E32" s="129" t="s">
        <v>1482</v>
      </c>
      <c r="F32" s="132" t="s">
        <v>580</v>
      </c>
      <c r="G32" s="132" t="s">
        <v>36</v>
      </c>
      <c r="H32" s="132">
        <v>9000</v>
      </c>
    </row>
    <row r="33" spans="2:8">
      <c r="B33" s="34" t="str">
        <f>Node!B8</f>
        <v>INVIHR11AMB1SAEC01NK</v>
      </c>
      <c r="C33" s="130">
        <v>2</v>
      </c>
      <c r="D33" s="131" t="s">
        <v>1477</v>
      </c>
      <c r="E33" s="129" t="s">
        <v>1483</v>
      </c>
      <c r="F33" s="132" t="s">
        <v>580</v>
      </c>
      <c r="G33" s="132" t="s">
        <v>36</v>
      </c>
      <c r="H33" s="132">
        <v>9000</v>
      </c>
    </row>
    <row r="34" spans="2:8">
      <c r="B34" s="34" t="str">
        <f>Node!B8</f>
        <v>INVIHR11AMB1SAEC01NK</v>
      </c>
      <c r="C34" s="130">
        <v>2</v>
      </c>
      <c r="D34" s="131" t="s">
        <v>1478</v>
      </c>
      <c r="E34" s="129" t="s">
        <v>1484</v>
      </c>
      <c r="F34" s="132" t="s">
        <v>580</v>
      </c>
      <c r="G34" s="132" t="s">
        <v>36</v>
      </c>
      <c r="H34" s="132">
        <v>9000</v>
      </c>
    </row>
    <row r="35" spans="2:8">
      <c r="B35" s="34" t="str">
        <f>Node!B8</f>
        <v>INVIHR11AMB1SAEC01NK</v>
      </c>
      <c r="C35" s="130">
        <v>2</v>
      </c>
      <c r="D35" s="131" t="s">
        <v>1479</v>
      </c>
      <c r="E35" s="129" t="s">
        <v>1485</v>
      </c>
      <c r="F35" s="132" t="s">
        <v>580</v>
      </c>
      <c r="G35" s="132" t="s">
        <v>36</v>
      </c>
      <c r="H35" s="132">
        <v>9000</v>
      </c>
    </row>
    <row r="36" spans="2:8">
      <c r="B36" s="34" t="str">
        <f>Node!B8</f>
        <v>INVIHR11AMB1SAEC01NK</v>
      </c>
      <c r="C36" s="130">
        <v>2</v>
      </c>
      <c r="D36" s="131" t="s">
        <v>1498</v>
      </c>
      <c r="E36" s="129" t="s">
        <v>1486</v>
      </c>
      <c r="F36" s="132" t="s">
        <v>580</v>
      </c>
      <c r="G36" s="132" t="s">
        <v>36</v>
      </c>
      <c r="H36" s="132">
        <v>9000</v>
      </c>
    </row>
    <row r="37" spans="2:8">
      <c r="B37" s="34" t="str">
        <f>Node!B8</f>
        <v>INVIHR11AMB1SAEC01NK</v>
      </c>
      <c r="C37" s="130">
        <v>2</v>
      </c>
      <c r="D37" s="131" t="s">
        <v>1499</v>
      </c>
      <c r="E37" s="129" t="s">
        <v>1487</v>
      </c>
      <c r="F37" s="132" t="s">
        <v>580</v>
      </c>
      <c r="G37" s="132" t="s">
        <v>36</v>
      </c>
      <c r="H37" s="132">
        <v>9000</v>
      </c>
    </row>
    <row r="38" spans="2:8">
      <c r="B38" s="34" t="str">
        <f>Node!B8</f>
        <v>INVIHR11AMB1SAEC01NK</v>
      </c>
      <c r="C38" s="130">
        <v>2</v>
      </c>
      <c r="D38" s="131" t="s">
        <v>1500</v>
      </c>
      <c r="E38" s="129" t="s">
        <v>1488</v>
      </c>
      <c r="F38" s="132" t="s">
        <v>580</v>
      </c>
      <c r="G38" s="132" t="s">
        <v>36</v>
      </c>
      <c r="H38" s="132">
        <v>9000</v>
      </c>
    </row>
    <row r="39" spans="2:8">
      <c r="B39" s="34" t="str">
        <f>Node!B8</f>
        <v>INVIHR11AMB1SAEC01NK</v>
      </c>
      <c r="C39" s="130">
        <v>2</v>
      </c>
      <c r="D39" s="131" t="s">
        <v>1501</v>
      </c>
      <c r="E39" s="129" t="s">
        <v>1489</v>
      </c>
      <c r="F39" s="132" t="s">
        <v>580</v>
      </c>
      <c r="G39" s="132" t="s">
        <v>36</v>
      </c>
      <c r="H39" s="132">
        <v>9000</v>
      </c>
    </row>
    <row r="40" spans="2:8">
      <c r="B40" s="34" t="str">
        <f>Node!B8</f>
        <v>INVIHR11AMB1SAEC01NK</v>
      </c>
      <c r="C40" s="130">
        <v>2</v>
      </c>
      <c r="D40" s="131" t="s">
        <v>1502</v>
      </c>
      <c r="E40" s="129" t="s">
        <v>1490</v>
      </c>
      <c r="F40" s="132" t="s">
        <v>580</v>
      </c>
      <c r="G40" s="132" t="s">
        <v>36</v>
      </c>
      <c r="H40" s="132">
        <v>9000</v>
      </c>
    </row>
    <row r="41" spans="2:8">
      <c r="B41" s="34" t="str">
        <f>Node!B8</f>
        <v>INVIHR11AMB1SAEC01NK</v>
      </c>
      <c r="C41" s="130">
        <v>2</v>
      </c>
      <c r="D41" s="131" t="s">
        <v>1503</v>
      </c>
      <c r="E41" s="129" t="s">
        <v>1491</v>
      </c>
      <c r="F41" s="132" t="s">
        <v>580</v>
      </c>
      <c r="G41" s="132" t="s">
        <v>36</v>
      </c>
      <c r="H41" s="132">
        <v>9000</v>
      </c>
    </row>
    <row r="42" spans="2:8">
      <c r="B42" s="34" t="str">
        <f>Node!B8</f>
        <v>INVIHR11AMB1SAEC01NK</v>
      </c>
      <c r="C42" s="130">
        <v>2</v>
      </c>
      <c r="D42" s="131" t="s">
        <v>1504</v>
      </c>
      <c r="E42" s="129" t="s">
        <v>1492</v>
      </c>
      <c r="F42" s="132" t="s">
        <v>580</v>
      </c>
      <c r="G42" s="132" t="s">
        <v>36</v>
      </c>
      <c r="H42" s="132">
        <v>9000</v>
      </c>
    </row>
    <row r="43" spans="2:8">
      <c r="B43" s="34" t="str">
        <f>Node!B8</f>
        <v>INVIHR11AMB1SAEC01NK</v>
      </c>
      <c r="C43" s="130">
        <v>2</v>
      </c>
      <c r="D43" s="131" t="s">
        <v>1505</v>
      </c>
      <c r="E43" s="129" t="s">
        <v>1493</v>
      </c>
      <c r="F43" s="132" t="s">
        <v>580</v>
      </c>
      <c r="G43" s="132" t="s">
        <v>36</v>
      </c>
      <c r="H43" s="132">
        <v>9000</v>
      </c>
    </row>
    <row r="44" spans="2:8">
      <c r="B44" s="34" t="str">
        <f>Node!B8</f>
        <v>INVIHR11AMB1SAEC01NK</v>
      </c>
      <c r="C44" s="130">
        <v>2</v>
      </c>
      <c r="D44" s="131" t="s">
        <v>1506</v>
      </c>
      <c r="E44" s="129" t="s">
        <v>1494</v>
      </c>
      <c r="F44" s="132" t="s">
        <v>580</v>
      </c>
      <c r="G44" s="132" t="s">
        <v>36</v>
      </c>
      <c r="H44" s="132">
        <v>9000</v>
      </c>
    </row>
    <row r="45" spans="2:8">
      <c r="B45" s="34" t="str">
        <f>Node!B8</f>
        <v>INVIHR11AMB1SAEC01NK</v>
      </c>
      <c r="C45" s="130">
        <v>2</v>
      </c>
      <c r="D45" s="131" t="s">
        <v>1507</v>
      </c>
      <c r="E45" s="129" t="s">
        <v>1495</v>
      </c>
      <c r="F45" s="132" t="s">
        <v>580</v>
      </c>
      <c r="G45" s="132" t="s">
        <v>36</v>
      </c>
      <c r="H45" s="132">
        <v>9000</v>
      </c>
    </row>
    <row r="46" spans="2:8">
      <c r="B46" s="34" t="str">
        <f>Node!B8</f>
        <v>INVIHR11AMB1SAEC01NK</v>
      </c>
      <c r="C46" s="130">
        <v>2</v>
      </c>
      <c r="D46" s="131" t="s">
        <v>1508</v>
      </c>
      <c r="E46" s="129" t="s">
        <v>1496</v>
      </c>
      <c r="F46" s="132" t="s">
        <v>580</v>
      </c>
      <c r="G46" s="132" t="s">
        <v>36</v>
      </c>
      <c r="H46" s="132">
        <v>9000</v>
      </c>
    </row>
    <row r="47" spans="2:8">
      <c r="B47" s="34" t="str">
        <f>Node!B8</f>
        <v>INVIHR11AMB1SAEC01NK</v>
      </c>
      <c r="C47" s="130">
        <v>2</v>
      </c>
      <c r="D47" s="131" t="s">
        <v>1509</v>
      </c>
      <c r="E47" s="129" t="s">
        <v>1497</v>
      </c>
      <c r="F47" s="132" t="s">
        <v>580</v>
      </c>
      <c r="G47" s="132" t="s">
        <v>36</v>
      </c>
      <c r="H47" s="132">
        <v>9000</v>
      </c>
    </row>
    <row r="48" spans="2:8">
      <c r="B48" s="38" t="str">
        <f>Node!B9</f>
        <v>INVIHR11AMB1SAEU01NK</v>
      </c>
      <c r="C48" s="130">
        <v>1</v>
      </c>
      <c r="D48" s="131" t="s">
        <v>37</v>
      </c>
      <c r="E48" s="129" t="s">
        <v>616</v>
      </c>
      <c r="F48" s="132" t="s">
        <v>541</v>
      </c>
      <c r="G48" s="132" t="s">
        <v>542</v>
      </c>
      <c r="H48" s="132" t="s">
        <v>36</v>
      </c>
    </row>
    <row r="49" spans="2:8">
      <c r="B49" s="38" t="str">
        <f>Node!B9</f>
        <v>INVIHR11AMB1SAEU01NK</v>
      </c>
      <c r="C49" s="130">
        <v>1</v>
      </c>
      <c r="D49" s="131" t="s">
        <v>38</v>
      </c>
      <c r="E49" s="129" t="s">
        <v>617</v>
      </c>
      <c r="F49" s="132" t="s">
        <v>541</v>
      </c>
      <c r="G49" s="132" t="s">
        <v>542</v>
      </c>
      <c r="H49" s="132" t="s">
        <v>36</v>
      </c>
    </row>
    <row r="50" spans="2:8">
      <c r="B50" s="38" t="str">
        <f>Node!B9</f>
        <v>INVIHR11AMB1SAEU01NK</v>
      </c>
      <c r="C50" s="130">
        <v>2</v>
      </c>
      <c r="D50" s="131" t="s">
        <v>39</v>
      </c>
      <c r="E50" s="129" t="s">
        <v>618</v>
      </c>
      <c r="F50" s="132" t="s">
        <v>541</v>
      </c>
      <c r="G50" s="132" t="s">
        <v>542</v>
      </c>
      <c r="H50" s="132" t="s">
        <v>36</v>
      </c>
    </row>
    <row r="51" spans="2:8">
      <c r="B51" s="38" t="str">
        <f>Node!B9</f>
        <v>INVIHR11AMB1SAEU01NK</v>
      </c>
      <c r="C51" s="130">
        <v>2</v>
      </c>
      <c r="D51" s="131" t="s">
        <v>40</v>
      </c>
      <c r="E51" s="129" t="s">
        <v>619</v>
      </c>
      <c r="F51" s="132" t="s">
        <v>541</v>
      </c>
      <c r="G51" s="132" t="s">
        <v>542</v>
      </c>
      <c r="H51" s="132" t="s">
        <v>36</v>
      </c>
    </row>
    <row r="52" spans="2:8">
      <c r="B52" s="38" t="str">
        <f>Node!B9</f>
        <v>INVIHR11AMB1SAEU01NK</v>
      </c>
      <c r="C52" s="130">
        <v>3</v>
      </c>
      <c r="D52" s="129" t="str">
        <f>_xlfn.CONCAT(C52,"/3/1")</f>
        <v>3/3/1</v>
      </c>
      <c r="E52" s="129" t="str">
        <f>_xlfn.CONCAT("MG",C52,"-PORT-1")</f>
        <v>MG3-PORT-1</v>
      </c>
      <c r="F52" s="132" t="s">
        <v>541</v>
      </c>
      <c r="G52" s="132" t="s">
        <v>542</v>
      </c>
      <c r="H52" s="132" t="s">
        <v>36</v>
      </c>
    </row>
    <row r="53" spans="2:8">
      <c r="B53" s="38" t="str">
        <f>Node!B9</f>
        <v>INVIHR11AMB1SAEU01NK</v>
      </c>
      <c r="C53" s="130">
        <v>3</v>
      </c>
      <c r="D53" s="129" t="str">
        <f>_xlfn.CONCAT(C53,"/3/2")</f>
        <v>3/3/2</v>
      </c>
      <c r="E53" s="129" t="str">
        <f>_xlfn.CONCAT("MG",C53,"-PORT-2")</f>
        <v>MG3-PORT-2</v>
      </c>
      <c r="F53" s="132" t="s">
        <v>541</v>
      </c>
      <c r="G53" s="132" t="s">
        <v>542</v>
      </c>
      <c r="H53" s="132" t="s">
        <v>36</v>
      </c>
    </row>
    <row r="54" spans="2:8">
      <c r="B54" s="38" t="str">
        <f>Node!B9</f>
        <v>INVIHR11AMB1SAEU01NK</v>
      </c>
      <c r="C54" s="130">
        <v>4</v>
      </c>
      <c r="D54" s="129" t="str">
        <f>_xlfn.CONCAT(C54,"/3/1")</f>
        <v>4/3/1</v>
      </c>
      <c r="E54" s="129" t="str">
        <f>_xlfn.CONCAT("MG",C54,"-PORT-1")</f>
        <v>MG4-PORT-1</v>
      </c>
      <c r="F54" s="132" t="s">
        <v>541</v>
      </c>
      <c r="G54" s="132" t="s">
        <v>542</v>
      </c>
      <c r="H54" s="132" t="s">
        <v>36</v>
      </c>
    </row>
    <row r="55" spans="2:8">
      <c r="B55" s="38" t="str">
        <f>Node!B9</f>
        <v>INVIHR11AMB1SAEU01NK</v>
      </c>
      <c r="C55" s="130">
        <v>4</v>
      </c>
      <c r="D55" s="129" t="str">
        <f>_xlfn.CONCAT(C55,"/3/2")</f>
        <v>4/3/2</v>
      </c>
      <c r="E55" s="129" t="str">
        <f>_xlfn.CONCAT("MG",C55,"-PORT-2")</f>
        <v>MG4-PORT-2</v>
      </c>
      <c r="F55" s="132" t="s">
        <v>541</v>
      </c>
      <c r="G55" s="132" t="s">
        <v>542</v>
      </c>
      <c r="H55" s="132" t="s">
        <v>36</v>
      </c>
    </row>
    <row r="56" spans="2:8">
      <c r="B56" s="38" t="str">
        <f>Node!B9</f>
        <v>INVIHR11AMB1SAEU01NK</v>
      </c>
      <c r="C56" s="130">
        <v>5</v>
      </c>
      <c r="D56" s="129" t="str">
        <f>_xlfn.CONCAT(C56,"/3/1")</f>
        <v>5/3/1</v>
      </c>
      <c r="E56" s="129" t="str">
        <f>_xlfn.CONCAT("MG",C56,"-PORT-1")</f>
        <v>MG5-PORT-1</v>
      </c>
      <c r="F56" s="132" t="s">
        <v>541</v>
      </c>
      <c r="G56" s="132" t="s">
        <v>542</v>
      </c>
      <c r="H56" s="132" t="s">
        <v>36</v>
      </c>
    </row>
    <row r="57" spans="2:8">
      <c r="B57" s="38" t="str">
        <f>Node!B9</f>
        <v>INVIHR11AMB1SAEU01NK</v>
      </c>
      <c r="C57" s="130">
        <v>5</v>
      </c>
      <c r="D57" s="129" t="str">
        <f>_xlfn.CONCAT(C57,"/3/2")</f>
        <v>5/3/2</v>
      </c>
      <c r="E57" s="129" t="str">
        <f>_xlfn.CONCAT("MG",C57,"-PORT-2")</f>
        <v>MG5-PORT-2</v>
      </c>
      <c r="F57" s="132" t="s">
        <v>541</v>
      </c>
      <c r="G57" s="132" t="s">
        <v>542</v>
      </c>
      <c r="H57" s="132" t="s">
        <v>36</v>
      </c>
    </row>
    <row r="58" spans="2:8">
      <c r="B58" s="38" t="str">
        <f>Node!B9</f>
        <v>INVIHR11AMB1SAEU01NK</v>
      </c>
      <c r="C58" s="130">
        <v>6</v>
      </c>
      <c r="D58" s="129" t="str">
        <f>_xlfn.CONCAT(C58,"/3/1")</f>
        <v>6/3/1</v>
      </c>
      <c r="E58" s="129" t="str">
        <f>_xlfn.CONCAT("MG",C58,"-PORT-1")</f>
        <v>MG6-PORT-1</v>
      </c>
      <c r="F58" s="132" t="s">
        <v>541</v>
      </c>
      <c r="G58" s="132" t="s">
        <v>542</v>
      </c>
      <c r="H58" s="132" t="s">
        <v>36</v>
      </c>
    </row>
    <row r="59" spans="2:8">
      <c r="B59" s="38" t="str">
        <f>Node!B9</f>
        <v>INVIHR11AMB1SAEU01NK</v>
      </c>
      <c r="C59" s="130">
        <v>6</v>
      </c>
      <c r="D59" s="129" t="str">
        <f>_xlfn.CONCAT(C59,"/3/2")</f>
        <v>6/3/2</v>
      </c>
      <c r="E59" s="129" t="str">
        <f>_xlfn.CONCAT("MG",C59,"-PORT-2")</f>
        <v>MG6-PORT-2</v>
      </c>
      <c r="F59" s="132" t="s">
        <v>541</v>
      </c>
      <c r="G59" s="132" t="s">
        <v>542</v>
      </c>
      <c r="H59" s="132" t="s">
        <v>36</v>
      </c>
    </row>
    <row r="60" spans="2:8">
      <c r="B60" s="38" t="str">
        <f>Node!B9</f>
        <v>INVIHR11AMB1SAEU01NK</v>
      </c>
      <c r="C60" s="130">
        <v>7</v>
      </c>
      <c r="D60" s="129" t="str">
        <f>_xlfn.CONCAT(C60,"/3/1")</f>
        <v>7/3/1</v>
      </c>
      <c r="E60" s="129" t="str">
        <f>_xlfn.CONCAT("MG",C60,"-PORT-1")</f>
        <v>MG7-PORT-1</v>
      </c>
      <c r="F60" s="132" t="s">
        <v>541</v>
      </c>
      <c r="G60" s="132" t="s">
        <v>542</v>
      </c>
      <c r="H60" s="132" t="s">
        <v>36</v>
      </c>
    </row>
    <row r="61" spans="2:8">
      <c r="B61" s="38" t="str">
        <f>Node!B9</f>
        <v>INVIHR11AMB1SAEU01NK</v>
      </c>
      <c r="C61" s="130">
        <v>7</v>
      </c>
      <c r="D61" s="129" t="str">
        <f>_xlfn.CONCAT(C61,"/3/2")</f>
        <v>7/3/2</v>
      </c>
      <c r="E61" s="129" t="str">
        <f>_xlfn.CONCAT("MG",C61,"-PORT-2")</f>
        <v>MG7-PORT-2</v>
      </c>
      <c r="F61" s="132" t="s">
        <v>541</v>
      </c>
      <c r="G61" s="132" t="s">
        <v>542</v>
      </c>
      <c r="H61" s="132" t="s">
        <v>36</v>
      </c>
    </row>
    <row r="62" spans="2:8">
      <c r="B62" s="38" t="str">
        <f>Node!B9</f>
        <v>INVIHR11AMB1SAEU01NK</v>
      </c>
      <c r="C62" s="130">
        <v>8</v>
      </c>
      <c r="D62" s="129" t="str">
        <f>_xlfn.CONCAT(C62,"/3/1")</f>
        <v>8/3/1</v>
      </c>
      <c r="E62" s="129" t="str">
        <f>_xlfn.CONCAT("MG",C62,"-PORT-1")</f>
        <v>MG8-PORT-1</v>
      </c>
      <c r="F62" s="132" t="s">
        <v>541</v>
      </c>
      <c r="G62" s="132" t="s">
        <v>542</v>
      </c>
      <c r="H62" s="132" t="s">
        <v>36</v>
      </c>
    </row>
    <row r="63" spans="2:8">
      <c r="B63" s="38" t="str">
        <f>Node!B9</f>
        <v>INVIHR11AMB1SAEU01NK</v>
      </c>
      <c r="C63" s="130">
        <v>8</v>
      </c>
      <c r="D63" s="129" t="str">
        <f>_xlfn.CONCAT(C63,"/3/2")</f>
        <v>8/3/2</v>
      </c>
      <c r="E63" s="129" t="str">
        <f>_xlfn.CONCAT("MG",C63,"-PORT-2")</f>
        <v>MG8-PORT-2</v>
      </c>
      <c r="F63" s="132" t="s">
        <v>541</v>
      </c>
      <c r="G63" s="132" t="s">
        <v>542</v>
      </c>
      <c r="H63" s="132" t="s">
        <v>36</v>
      </c>
    </row>
    <row r="64" spans="2:8">
      <c r="B64" s="38" t="str">
        <f>Node!B9</f>
        <v>INVIHR11AMB1SAEU01NK</v>
      </c>
      <c r="C64" s="130">
        <v>9</v>
      </c>
      <c r="D64" s="129" t="str">
        <f>_xlfn.CONCAT(C64,"/3/1")</f>
        <v>9/3/1</v>
      </c>
      <c r="E64" s="129" t="str">
        <f>_xlfn.CONCAT("MG",C64,"-PORT-1")</f>
        <v>MG9-PORT-1</v>
      </c>
      <c r="F64" s="132" t="s">
        <v>541</v>
      </c>
      <c r="G64" s="132" t="s">
        <v>542</v>
      </c>
      <c r="H64" s="132" t="s">
        <v>36</v>
      </c>
    </row>
    <row r="65" spans="2:8">
      <c r="B65" s="38" t="str">
        <f>Node!B9</f>
        <v>INVIHR11AMB1SAEU01NK</v>
      </c>
      <c r="C65" s="130">
        <v>9</v>
      </c>
      <c r="D65" s="129" t="str">
        <f>_xlfn.CONCAT(C65,"/3/2")</f>
        <v>9/3/2</v>
      </c>
      <c r="E65" s="129" t="str">
        <f>_xlfn.CONCAT("MG",C65,"-PORT-2")</f>
        <v>MG9-PORT-2</v>
      </c>
      <c r="F65" s="132" t="s">
        <v>541</v>
      </c>
      <c r="G65" s="132" t="s">
        <v>542</v>
      </c>
      <c r="H65" s="132" t="s">
        <v>36</v>
      </c>
    </row>
    <row r="66" spans="2:8">
      <c r="B66" s="38" t="str">
        <f>Node!B9</f>
        <v>INVIHR11AMB1SAEU01NK</v>
      </c>
      <c r="C66" s="130">
        <v>10</v>
      </c>
      <c r="D66" s="129" t="str">
        <f>_xlfn.CONCAT(C66,"/3/1")</f>
        <v>10/3/1</v>
      </c>
      <c r="E66" s="129" t="str">
        <f>_xlfn.CONCAT("MG",C66,"-PORT-1")</f>
        <v>MG10-PORT-1</v>
      </c>
      <c r="F66" s="132" t="s">
        <v>541</v>
      </c>
      <c r="G66" s="132" t="s">
        <v>542</v>
      </c>
      <c r="H66" s="132" t="s">
        <v>36</v>
      </c>
    </row>
    <row r="67" spans="2:8">
      <c r="B67" s="38" t="str">
        <f>Node!B9</f>
        <v>INVIHR11AMB1SAEU01NK</v>
      </c>
      <c r="C67" s="130">
        <v>10</v>
      </c>
      <c r="D67" s="129" t="str">
        <f>_xlfn.CONCAT(C67,"/3/2")</f>
        <v>10/3/2</v>
      </c>
      <c r="E67" s="129" t="str">
        <f>_xlfn.CONCAT("MG",C67,"-PORT-2")</f>
        <v>MG10-PORT-2</v>
      </c>
      <c r="F67" s="132" t="s">
        <v>541</v>
      </c>
      <c r="G67" s="132" t="s">
        <v>542</v>
      </c>
      <c r="H67" s="132" t="s">
        <v>36</v>
      </c>
    </row>
    <row r="68" spans="2:8">
      <c r="B68" s="38" t="str">
        <f>Node!B9</f>
        <v>INVIHR11AMB1SAEU01NK</v>
      </c>
      <c r="C68" s="130">
        <v>11</v>
      </c>
      <c r="D68" s="129" t="str">
        <f>_xlfn.CONCAT(C68,"/3/1")</f>
        <v>11/3/1</v>
      </c>
      <c r="E68" s="129" t="str">
        <f>_xlfn.CONCAT("MG",C68,"-PORT-1")</f>
        <v>MG11-PORT-1</v>
      </c>
      <c r="F68" s="132" t="s">
        <v>541</v>
      </c>
      <c r="G68" s="132" t="s">
        <v>542</v>
      </c>
      <c r="H68" s="132" t="s">
        <v>36</v>
      </c>
    </row>
    <row r="69" spans="2:8">
      <c r="B69" s="38" t="str">
        <f>Node!B9</f>
        <v>INVIHR11AMB1SAEU01NK</v>
      </c>
      <c r="C69" s="130">
        <v>11</v>
      </c>
      <c r="D69" s="129" t="str">
        <f>_xlfn.CONCAT(C69,"/3/2")</f>
        <v>11/3/2</v>
      </c>
      <c r="E69" s="129" t="str">
        <f>_xlfn.CONCAT("MG",C69,"-PORT-2")</f>
        <v>MG11-PORT-2</v>
      </c>
      <c r="F69" s="132" t="s">
        <v>541</v>
      </c>
      <c r="G69" s="132" t="s">
        <v>542</v>
      </c>
      <c r="H69" s="132" t="s">
        <v>36</v>
      </c>
    </row>
    <row r="70" spans="2:8">
      <c r="B70" s="38" t="str">
        <f>Node!B9</f>
        <v>INVIHR11AMB1SAEU01NK</v>
      </c>
      <c r="C70" s="130">
        <v>12</v>
      </c>
      <c r="D70" s="129" t="str">
        <f>_xlfn.CONCAT(C70,"/3/1")</f>
        <v>12/3/1</v>
      </c>
      <c r="E70" s="129" t="str">
        <f>_xlfn.CONCAT("MG",C70,"-PORT-1")</f>
        <v>MG12-PORT-1</v>
      </c>
      <c r="F70" s="132" t="s">
        <v>541</v>
      </c>
      <c r="G70" s="132" t="s">
        <v>542</v>
      </c>
      <c r="H70" s="132" t="s">
        <v>36</v>
      </c>
    </row>
    <row r="71" spans="2:8">
      <c r="B71" s="38" t="str">
        <f>Node!B9</f>
        <v>INVIHR11AMB1SAEU01NK</v>
      </c>
      <c r="C71" s="130">
        <v>12</v>
      </c>
      <c r="D71" s="129" t="str">
        <f>_xlfn.CONCAT(C71,"/3/2")</f>
        <v>12/3/2</v>
      </c>
      <c r="E71" s="129" t="str">
        <f>_xlfn.CONCAT("MG",C71,"-PORT-2")</f>
        <v>MG12-PORT-2</v>
      </c>
      <c r="F71" s="132" t="s">
        <v>541</v>
      </c>
      <c r="G71" s="132" t="s">
        <v>542</v>
      </c>
      <c r="H71" s="132" t="s">
        <v>36</v>
      </c>
    </row>
    <row r="72" spans="2:8">
      <c r="B72" s="38" t="str">
        <f>Node!B9</f>
        <v>INVIHR11AMB1SAEU01NK</v>
      </c>
      <c r="C72" s="130">
        <v>13</v>
      </c>
      <c r="D72" s="129" t="str">
        <f>_xlfn.CONCAT(C72,"/3/1")</f>
        <v>13/3/1</v>
      </c>
      <c r="E72" s="129" t="str">
        <f>_xlfn.CONCAT("MG",C72,"-PORT-1")</f>
        <v>MG13-PORT-1</v>
      </c>
      <c r="F72" s="132" t="s">
        <v>541</v>
      </c>
      <c r="G72" s="132" t="s">
        <v>542</v>
      </c>
      <c r="H72" s="132" t="s">
        <v>36</v>
      </c>
    </row>
    <row r="73" spans="2:8">
      <c r="B73" s="38" t="str">
        <f>Node!B9</f>
        <v>INVIHR11AMB1SAEU01NK</v>
      </c>
      <c r="C73" s="130">
        <v>13</v>
      </c>
      <c r="D73" s="129" t="str">
        <f>_xlfn.CONCAT(C73,"/3/2")</f>
        <v>13/3/2</v>
      </c>
      <c r="E73" s="129" t="str">
        <f>_xlfn.CONCAT("MG",C73,"-PORT-2")</f>
        <v>MG13-PORT-2</v>
      </c>
      <c r="F73" s="132" t="s">
        <v>541</v>
      </c>
      <c r="G73" s="132" t="s">
        <v>542</v>
      </c>
      <c r="H73" s="132" t="s">
        <v>36</v>
      </c>
    </row>
    <row r="74" spans="2:8">
      <c r="B74" s="38" t="str">
        <f>Node!B9</f>
        <v>INVIHR11AMB1SAEU01NK</v>
      </c>
      <c r="C74" s="130">
        <v>14</v>
      </c>
      <c r="D74" s="129" t="str">
        <f>_xlfn.CONCAT(C74,"/3/1")</f>
        <v>14/3/1</v>
      </c>
      <c r="E74" s="129" t="str">
        <f>_xlfn.CONCAT("MG",C74,"-PORT-1")</f>
        <v>MG14-PORT-1</v>
      </c>
      <c r="F74" s="132" t="s">
        <v>541</v>
      </c>
      <c r="G74" s="132" t="s">
        <v>542</v>
      </c>
      <c r="H74" s="132" t="s">
        <v>36</v>
      </c>
    </row>
    <row r="75" spans="2:8">
      <c r="B75" s="38" t="str">
        <f>Node!B9</f>
        <v>INVIHR11AMB1SAEU01NK</v>
      </c>
      <c r="C75" s="130">
        <v>14</v>
      </c>
      <c r="D75" s="129" t="str">
        <f>_xlfn.CONCAT(C75,"/3/2")</f>
        <v>14/3/2</v>
      </c>
      <c r="E75" s="129" t="str">
        <f>_xlfn.CONCAT("MG",C75,"-PORT-2")</f>
        <v>MG14-PORT-2</v>
      </c>
      <c r="F75" s="132" t="s">
        <v>541</v>
      </c>
      <c r="G75" s="132" t="s">
        <v>542</v>
      </c>
      <c r="H75" s="132" t="s">
        <v>36</v>
      </c>
    </row>
    <row r="76" spans="2:8">
      <c r="B76" s="38" t="str">
        <f>Node!B9</f>
        <v>INVIHR11AMB1SAEU01NK</v>
      </c>
      <c r="C76" s="130">
        <v>15</v>
      </c>
      <c r="D76" s="129" t="str">
        <f>_xlfn.CONCAT(C76,"/3/1")</f>
        <v>15/3/1</v>
      </c>
      <c r="E76" s="129" t="str">
        <f>_xlfn.CONCAT("MG",C76,"-PORT-1")</f>
        <v>MG15-PORT-1</v>
      </c>
      <c r="F76" s="132" t="s">
        <v>541</v>
      </c>
      <c r="G76" s="132" t="s">
        <v>542</v>
      </c>
      <c r="H76" s="132" t="s">
        <v>36</v>
      </c>
    </row>
    <row r="77" spans="2:8">
      <c r="B77" s="38" t="str">
        <f>Node!B9</f>
        <v>INVIHR11AMB1SAEU01NK</v>
      </c>
      <c r="C77" s="130">
        <v>15</v>
      </c>
      <c r="D77" s="129" t="str">
        <f>_xlfn.CONCAT(C77,"/3/2")</f>
        <v>15/3/2</v>
      </c>
      <c r="E77" s="129" t="str">
        <f>_xlfn.CONCAT("MG",C77,"-PORT-2")</f>
        <v>MG15-PORT-2</v>
      </c>
      <c r="F77" s="132" t="s">
        <v>541</v>
      </c>
      <c r="G77" s="132" t="s">
        <v>542</v>
      </c>
      <c r="H77" s="132" t="s">
        <v>36</v>
      </c>
    </row>
    <row r="78" spans="2:8">
      <c r="B78" s="38" t="str">
        <f>Node!B9</f>
        <v>INVIHR11AMB1SAEU01NK</v>
      </c>
      <c r="C78" s="130">
        <v>16</v>
      </c>
      <c r="D78" s="129" t="str">
        <f>_xlfn.CONCAT(C78,"/3/1")</f>
        <v>16/3/1</v>
      </c>
      <c r="E78" s="129" t="str">
        <f>_xlfn.CONCAT("MG",C78,"-PORT-1")</f>
        <v>MG16-PORT-1</v>
      </c>
      <c r="F78" s="132" t="s">
        <v>541</v>
      </c>
      <c r="G78" s="132" t="s">
        <v>542</v>
      </c>
      <c r="H78" s="132" t="s">
        <v>36</v>
      </c>
    </row>
    <row r="79" spans="2:8">
      <c r="B79" s="38" t="str">
        <f>Node!B9</f>
        <v>INVIHR11AMB1SAEU01NK</v>
      </c>
      <c r="C79" s="130">
        <v>16</v>
      </c>
      <c r="D79" s="129" t="str">
        <f>_xlfn.CONCAT(C79,"/3/2")</f>
        <v>16/3/2</v>
      </c>
      <c r="E79" s="129" t="str">
        <f>_xlfn.CONCAT("MG",C79,"-PORT-2")</f>
        <v>MG16-PORT-2</v>
      </c>
      <c r="F79" s="132" t="s">
        <v>541</v>
      </c>
      <c r="G79" s="132" t="s">
        <v>542</v>
      </c>
      <c r="H79" s="132" t="s">
        <v>36</v>
      </c>
    </row>
    <row r="80" spans="2:8">
      <c r="B80" s="38" t="str">
        <f>Node!B9</f>
        <v>INVIHR11AMB1SAEU01NK</v>
      </c>
      <c r="C80" s="130">
        <v>17</v>
      </c>
      <c r="D80" s="129" t="str">
        <f>_xlfn.CONCAT(C80,"/3/1")</f>
        <v>17/3/1</v>
      </c>
      <c r="E80" s="129" t="str">
        <f>_xlfn.CONCAT("MG",C80,"-PORT-1")</f>
        <v>MG17-PORT-1</v>
      </c>
      <c r="F80" s="132" t="s">
        <v>541</v>
      </c>
      <c r="G80" s="132" t="s">
        <v>542</v>
      </c>
      <c r="H80" s="132" t="s">
        <v>36</v>
      </c>
    </row>
    <row r="81" spans="2:8">
      <c r="B81" s="38" t="str">
        <f>Node!B9</f>
        <v>INVIHR11AMB1SAEU01NK</v>
      </c>
      <c r="C81" s="130">
        <v>17</v>
      </c>
      <c r="D81" s="129" t="str">
        <f>_xlfn.CONCAT(C81,"/3/2")</f>
        <v>17/3/2</v>
      </c>
      <c r="E81" s="129" t="str">
        <f>_xlfn.CONCAT("MG",C81,"-PORT-2")</f>
        <v>MG17-PORT-2</v>
      </c>
      <c r="F81" s="132" t="s">
        <v>541</v>
      </c>
      <c r="G81" s="132" t="s">
        <v>542</v>
      </c>
      <c r="H81" s="132" t="s">
        <v>36</v>
      </c>
    </row>
    <row r="82" spans="2:8">
      <c r="B82" s="38" t="str">
        <f>Node!B9</f>
        <v>INVIHR11AMB1SAEU01NK</v>
      </c>
      <c r="C82" s="130">
        <v>18</v>
      </c>
      <c r="D82" s="129" t="str">
        <f>_xlfn.CONCAT(C82,"/3/1")</f>
        <v>18/3/1</v>
      </c>
      <c r="E82" s="129" t="str">
        <f>_xlfn.CONCAT("MG",C82,"-PORT-1")</f>
        <v>MG18-PORT-1</v>
      </c>
      <c r="F82" s="132" t="s">
        <v>541</v>
      </c>
      <c r="G82" s="132" t="s">
        <v>542</v>
      </c>
      <c r="H82" s="132" t="s">
        <v>36</v>
      </c>
    </row>
    <row r="83" spans="2:8">
      <c r="B83" s="38" t="str">
        <f>Node!B9</f>
        <v>INVIHR11AMB1SAEU01NK</v>
      </c>
      <c r="C83" s="130">
        <v>18</v>
      </c>
      <c r="D83" s="129" t="str">
        <f>_xlfn.CONCAT(C83,"/3/2")</f>
        <v>18/3/2</v>
      </c>
      <c r="E83" s="129" t="str">
        <f>_xlfn.CONCAT("MG",C83,"-PORT-2")</f>
        <v>MG18-PORT-2</v>
      </c>
      <c r="F83" s="132" t="s">
        <v>541</v>
      </c>
      <c r="G83" s="132" t="s">
        <v>542</v>
      </c>
      <c r="H83" s="132" t="s">
        <v>36</v>
      </c>
    </row>
    <row r="84" spans="2:8">
      <c r="B84" s="38" t="str">
        <f>Node!B9</f>
        <v>INVIHR11AMB1SAEU01NK</v>
      </c>
      <c r="C84" s="130">
        <v>19</v>
      </c>
      <c r="D84" s="129" t="str">
        <f>_xlfn.CONCAT(C84,"/3/1")</f>
        <v>19/3/1</v>
      </c>
      <c r="E84" s="129" t="str">
        <f>_xlfn.CONCAT("MG",C84,"-PORT-1")</f>
        <v>MG19-PORT-1</v>
      </c>
      <c r="F84" s="132" t="s">
        <v>541</v>
      </c>
      <c r="G84" s="132" t="s">
        <v>542</v>
      </c>
      <c r="H84" s="132" t="s">
        <v>36</v>
      </c>
    </row>
    <row r="85" spans="2:8">
      <c r="B85" s="38" t="str">
        <f>Node!B9</f>
        <v>INVIHR11AMB1SAEU01NK</v>
      </c>
      <c r="C85" s="130">
        <v>19</v>
      </c>
      <c r="D85" s="129" t="str">
        <f>_xlfn.CONCAT(C85,"/3/2")</f>
        <v>19/3/2</v>
      </c>
      <c r="E85" s="129" t="str">
        <f>_xlfn.CONCAT("MG",C85,"-PORT-2")</f>
        <v>MG19-PORT-2</v>
      </c>
      <c r="F85" s="132" t="s">
        <v>541</v>
      </c>
      <c r="G85" s="132" t="s">
        <v>542</v>
      </c>
      <c r="H85" s="132" t="s">
        <v>36</v>
      </c>
    </row>
    <row r="86" spans="2:8">
      <c r="B86" s="38" t="str">
        <f>Node!B9</f>
        <v>INVIHR11AMB1SAEU01NK</v>
      </c>
      <c r="C86" s="130">
        <v>20</v>
      </c>
      <c r="D86" s="129" t="str">
        <f>_xlfn.CONCAT(C86,"/3/1")</f>
        <v>20/3/1</v>
      </c>
      <c r="E86" s="129" t="str">
        <f>_xlfn.CONCAT("MG",C86,"-PORT-1")</f>
        <v>MG20-PORT-1</v>
      </c>
      <c r="F86" s="132" t="s">
        <v>541</v>
      </c>
      <c r="G86" s="132" t="s">
        <v>542</v>
      </c>
      <c r="H86" s="132" t="s">
        <v>36</v>
      </c>
    </row>
    <row r="87" spans="2:8">
      <c r="B87" s="38" t="str">
        <f>Node!B9</f>
        <v>INVIHR11AMB1SAEU01NK</v>
      </c>
      <c r="C87" s="130">
        <v>20</v>
      </c>
      <c r="D87" s="129" t="str">
        <f>_xlfn.CONCAT(C87,"/3/2")</f>
        <v>20/3/2</v>
      </c>
      <c r="E87" s="129" t="str">
        <f>_xlfn.CONCAT("MG",C87,"-PORT-2")</f>
        <v>MG20-PORT-2</v>
      </c>
      <c r="F87" s="132" t="s">
        <v>541</v>
      </c>
      <c r="G87" s="132" t="s">
        <v>542</v>
      </c>
      <c r="H87" s="132" t="s">
        <v>36</v>
      </c>
    </row>
  </sheetData>
  <mergeCells count="1">
    <mergeCell ref="B1:B3"/>
  </mergeCells>
  <dataValidations count="2">
    <dataValidation type="list" allowBlank="1" showInputMessage="1" showErrorMessage="1" sqref="G8:G87" xr:uid="{2BB2EA7E-395C-4BAE-8DD1-D22968444A9D}">
      <formula1>$G$1:$G$3</formula1>
    </dataValidation>
    <dataValidation type="list" allowBlank="1" showInputMessage="1" showErrorMessage="1" sqref="F8:F111" xr:uid="{2B1F8414-EBB8-4EF1-840C-EEACDBF1423A}">
      <formula1>$F$1:$F$3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>
                <anchor moveWithCells="1">
                  <from>
                    <xdr:col>3</xdr:col>
                    <xdr:colOff>563880</xdr:colOff>
                    <xdr:row>3</xdr:row>
                    <xdr:rowOff>121920</xdr:rowOff>
                  </from>
                  <to>
                    <xdr:col>5</xdr:col>
                    <xdr:colOff>327660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0A1B-0D71-4AE7-B131-3DFE4F9CE87C}">
  <sheetPr codeName="Sheet4"/>
  <dimension ref="A1:M19"/>
  <sheetViews>
    <sheetView zoomScale="80" zoomScaleNormal="80" workbookViewId="0">
      <selection activeCell="A19" sqref="A19:XFD19"/>
    </sheetView>
  </sheetViews>
  <sheetFormatPr defaultRowHeight="14.4"/>
  <cols>
    <col min="1" max="1" width="2.6640625" bestFit="1" customWidth="1"/>
    <col min="2" max="2" width="26" customWidth="1"/>
    <col min="3" max="3" width="13.33203125" customWidth="1"/>
    <col min="4" max="4" width="15.6640625" customWidth="1"/>
    <col min="5" max="5" width="13.33203125" customWidth="1"/>
    <col min="7" max="7" width="12.88671875" customWidth="1"/>
    <col min="9" max="9" width="13.33203125" customWidth="1"/>
    <col min="10" max="10" width="22.88671875" customWidth="1"/>
    <col min="11" max="11" width="15.44140625" customWidth="1"/>
    <col min="12" max="12" width="17.33203125" customWidth="1"/>
    <col min="13" max="13" width="18.88671875" customWidth="1"/>
  </cols>
  <sheetData>
    <row r="1" spans="1:13">
      <c r="A1" s="58" t="s">
        <v>6</v>
      </c>
      <c r="B1" s="344" t="s">
        <v>378</v>
      </c>
      <c r="C1" s="221" t="s">
        <v>536</v>
      </c>
      <c r="D1" s="221" t="s">
        <v>536</v>
      </c>
      <c r="E1" s="51" t="s">
        <v>84</v>
      </c>
      <c r="F1" s="221" t="s">
        <v>83</v>
      </c>
      <c r="G1" s="52" t="s">
        <v>83</v>
      </c>
      <c r="H1" s="52" t="s">
        <v>83</v>
      </c>
      <c r="I1" s="52" t="s">
        <v>83</v>
      </c>
      <c r="J1" s="52" t="s">
        <v>83</v>
      </c>
      <c r="K1" s="221" t="s">
        <v>536</v>
      </c>
      <c r="L1" s="221" t="s">
        <v>536</v>
      </c>
      <c r="M1" s="52" t="s">
        <v>83</v>
      </c>
    </row>
    <row r="2" spans="1:13">
      <c r="A2" s="58" t="s">
        <v>6</v>
      </c>
      <c r="B2" s="344"/>
      <c r="C2" s="50"/>
      <c r="D2" s="51"/>
      <c r="E2" s="51"/>
      <c r="F2" s="221" t="s">
        <v>84</v>
      </c>
      <c r="G2" s="51" t="s">
        <v>84</v>
      </c>
      <c r="H2" s="51" t="s">
        <v>84</v>
      </c>
      <c r="I2" s="51" t="s">
        <v>84</v>
      </c>
      <c r="J2" s="51" t="s">
        <v>84</v>
      </c>
      <c r="K2" s="51"/>
      <c r="L2" s="221" t="s">
        <v>36</v>
      </c>
      <c r="M2" s="51" t="s">
        <v>84</v>
      </c>
    </row>
    <row r="3" spans="1:13">
      <c r="A3" s="58" t="s">
        <v>6</v>
      </c>
      <c r="B3" s="344"/>
      <c r="C3" s="50"/>
      <c r="D3" s="51"/>
      <c r="E3" s="56"/>
      <c r="F3" s="50"/>
      <c r="G3" s="51"/>
      <c r="H3" s="50"/>
      <c r="I3" s="51"/>
      <c r="J3" s="221" t="s">
        <v>36</v>
      </c>
      <c r="K3" s="51"/>
      <c r="L3" s="50"/>
      <c r="M3" s="51"/>
    </row>
    <row r="4" spans="1:13">
      <c r="A4" s="5" t="s">
        <v>6</v>
      </c>
      <c r="B4" s="7" t="s">
        <v>14</v>
      </c>
    </row>
    <row r="5" spans="1:13">
      <c r="A5" s="5" t="s">
        <v>6</v>
      </c>
      <c r="B5" s="128" t="s">
        <v>15</v>
      </c>
    </row>
    <row r="6" spans="1:13">
      <c r="A6" s="5" t="s">
        <v>6</v>
      </c>
      <c r="B6" s="8" t="s">
        <v>16</v>
      </c>
    </row>
    <row r="7" spans="1:13">
      <c r="B7" s="31" t="s">
        <v>17</v>
      </c>
      <c r="C7" s="31" t="s">
        <v>122</v>
      </c>
      <c r="D7" s="31" t="s">
        <v>123</v>
      </c>
      <c r="E7" s="31" t="s">
        <v>135</v>
      </c>
      <c r="F7" s="31" t="s">
        <v>137</v>
      </c>
      <c r="G7" s="31" t="s">
        <v>426</v>
      </c>
      <c r="H7" s="31" t="s">
        <v>136</v>
      </c>
      <c r="I7" s="31" t="s">
        <v>427</v>
      </c>
      <c r="J7" s="31" t="s">
        <v>495</v>
      </c>
      <c r="K7" s="31" t="s">
        <v>428</v>
      </c>
      <c r="L7" s="31" t="s">
        <v>429</v>
      </c>
      <c r="M7" s="31" t="s">
        <v>431</v>
      </c>
    </row>
    <row r="8" spans="1:13">
      <c r="B8" s="36" t="str">
        <f>Node!B8</f>
        <v>INVIHR11AMB1SAEC01NK</v>
      </c>
      <c r="C8" s="129" t="s">
        <v>1409</v>
      </c>
      <c r="D8" s="129" t="s">
        <v>1345</v>
      </c>
      <c r="E8" s="129" t="s">
        <v>84</v>
      </c>
      <c r="F8" s="139" t="s">
        <v>83</v>
      </c>
      <c r="G8" s="139" t="s">
        <v>83</v>
      </c>
      <c r="H8" s="139" t="s">
        <v>83</v>
      </c>
      <c r="I8" s="139" t="s">
        <v>83</v>
      </c>
      <c r="J8" s="139" t="s">
        <v>83</v>
      </c>
      <c r="K8" s="129" t="s">
        <v>121</v>
      </c>
      <c r="L8" s="129" t="s">
        <v>36</v>
      </c>
      <c r="M8" s="139" t="s">
        <v>83</v>
      </c>
    </row>
    <row r="9" spans="1:13">
      <c r="B9" s="36" t="str">
        <f>Node!B8</f>
        <v>INVIHR11AMB1SAEC01NK</v>
      </c>
      <c r="C9" s="129" t="s">
        <v>1410</v>
      </c>
      <c r="D9" s="129" t="s">
        <v>1345</v>
      </c>
      <c r="E9" s="129" t="s">
        <v>84</v>
      </c>
      <c r="F9" s="139" t="s">
        <v>83</v>
      </c>
      <c r="G9" s="139" t="s">
        <v>83</v>
      </c>
      <c r="H9" s="139" t="s">
        <v>83</v>
      </c>
      <c r="I9" s="139" t="s">
        <v>83</v>
      </c>
      <c r="J9" s="139" t="s">
        <v>83</v>
      </c>
      <c r="K9" s="129" t="s">
        <v>124</v>
      </c>
      <c r="L9" s="129" t="s">
        <v>36</v>
      </c>
      <c r="M9" s="139" t="s">
        <v>83</v>
      </c>
    </row>
    <row r="10" spans="1:13">
      <c r="B10" s="36" t="str">
        <f>Node!B8</f>
        <v>INVIHR11AMB1SAEC01NK</v>
      </c>
      <c r="C10" s="129" t="s">
        <v>134</v>
      </c>
      <c r="D10" s="129" t="s">
        <v>1345</v>
      </c>
      <c r="E10" s="129" t="s">
        <v>84</v>
      </c>
      <c r="F10" s="139" t="s">
        <v>83</v>
      </c>
      <c r="G10" s="139" t="s">
        <v>83</v>
      </c>
      <c r="H10" s="139" t="s">
        <v>83</v>
      </c>
      <c r="I10" s="139" t="s">
        <v>83</v>
      </c>
      <c r="J10" s="129" t="s">
        <v>36</v>
      </c>
      <c r="K10" s="129" t="s">
        <v>138</v>
      </c>
      <c r="L10" s="129" t="s">
        <v>36</v>
      </c>
      <c r="M10" s="129" t="s">
        <v>84</v>
      </c>
    </row>
    <row r="11" spans="1:13">
      <c r="B11" s="36" t="str">
        <f>Node!B8</f>
        <v>INVIHR11AMB1SAEC01NK</v>
      </c>
      <c r="C11" s="129" t="s">
        <v>139</v>
      </c>
      <c r="D11" s="129" t="s">
        <v>1345</v>
      </c>
      <c r="E11" s="129" t="s">
        <v>84</v>
      </c>
      <c r="F11" s="129" t="s">
        <v>84</v>
      </c>
      <c r="G11" s="129" t="s">
        <v>84</v>
      </c>
      <c r="H11" s="129" t="s">
        <v>84</v>
      </c>
      <c r="I11" s="129" t="s">
        <v>83</v>
      </c>
      <c r="J11" s="139" t="s">
        <v>83</v>
      </c>
      <c r="K11" s="129" t="s">
        <v>430</v>
      </c>
      <c r="L11" s="129" t="s">
        <v>36</v>
      </c>
      <c r="M11" s="129" t="s">
        <v>84</v>
      </c>
    </row>
    <row r="12" spans="1:13">
      <c r="B12" s="36" t="str">
        <f>Node!B8</f>
        <v>INVIHR11AMB1SAEC01NK</v>
      </c>
      <c r="C12" s="129" t="s">
        <v>496</v>
      </c>
      <c r="D12" s="129" t="s">
        <v>1345</v>
      </c>
      <c r="E12" s="129" t="s">
        <v>84</v>
      </c>
      <c r="F12" s="129" t="s">
        <v>84</v>
      </c>
      <c r="G12" s="129" t="s">
        <v>84</v>
      </c>
      <c r="H12" s="139" t="s">
        <v>83</v>
      </c>
      <c r="I12" s="139" t="s">
        <v>83</v>
      </c>
      <c r="J12" s="129" t="s">
        <v>84</v>
      </c>
      <c r="K12" s="129" t="s">
        <v>138</v>
      </c>
      <c r="L12" s="129" t="s">
        <v>36</v>
      </c>
      <c r="M12" s="129" t="s">
        <v>84</v>
      </c>
    </row>
    <row r="13" spans="1:13">
      <c r="B13" s="36" t="str">
        <f>Node!B8</f>
        <v>INVIHR11AMB1SAEC01NK</v>
      </c>
      <c r="C13" s="129" t="s">
        <v>497</v>
      </c>
      <c r="D13" s="129" t="s">
        <v>1345</v>
      </c>
      <c r="E13" s="129" t="s">
        <v>84</v>
      </c>
      <c r="F13" s="129" t="s">
        <v>84</v>
      </c>
      <c r="G13" s="129" t="s">
        <v>84</v>
      </c>
      <c r="H13" s="139" t="s">
        <v>83</v>
      </c>
      <c r="I13" s="129" t="s">
        <v>84</v>
      </c>
      <c r="J13" s="139" t="s">
        <v>83</v>
      </c>
      <c r="K13" s="129" t="s">
        <v>138</v>
      </c>
      <c r="L13" s="129" t="s">
        <v>36</v>
      </c>
      <c r="M13" s="129" t="s">
        <v>84</v>
      </c>
    </row>
    <row r="14" spans="1:13">
      <c r="B14" s="134" t="str">
        <f>Node!B9</f>
        <v>INVIHR11AMB1SAEU01NK</v>
      </c>
      <c r="C14" s="129" t="s">
        <v>1409</v>
      </c>
      <c r="D14" s="129" t="s">
        <v>1345</v>
      </c>
      <c r="E14" s="129" t="s">
        <v>84</v>
      </c>
      <c r="F14" s="139" t="s">
        <v>83</v>
      </c>
      <c r="G14" s="139" t="s">
        <v>83</v>
      </c>
      <c r="H14" s="139" t="s">
        <v>83</v>
      </c>
      <c r="I14" s="139" t="s">
        <v>83</v>
      </c>
      <c r="J14" s="139" t="s">
        <v>83</v>
      </c>
      <c r="K14" s="129" t="s">
        <v>121</v>
      </c>
      <c r="L14" s="129" t="s">
        <v>36</v>
      </c>
      <c r="M14" s="139" t="s">
        <v>83</v>
      </c>
    </row>
    <row r="15" spans="1:13">
      <c r="B15" s="38" t="str">
        <f>Node!B9</f>
        <v>INVIHR11AMB1SAEU01NK</v>
      </c>
      <c r="C15" s="129" t="s">
        <v>1410</v>
      </c>
      <c r="D15" s="129" t="s">
        <v>1345</v>
      </c>
      <c r="E15" s="129" t="s">
        <v>84</v>
      </c>
      <c r="F15" s="139" t="s">
        <v>83</v>
      </c>
      <c r="G15" s="139" t="s">
        <v>83</v>
      </c>
      <c r="H15" s="139" t="s">
        <v>83</v>
      </c>
      <c r="I15" s="139" t="s">
        <v>83</v>
      </c>
      <c r="J15" s="139" t="s">
        <v>83</v>
      </c>
      <c r="K15" s="129" t="s">
        <v>124</v>
      </c>
      <c r="L15" s="129" t="s">
        <v>36</v>
      </c>
      <c r="M15" s="139" t="s">
        <v>83</v>
      </c>
    </row>
    <row r="16" spans="1:13">
      <c r="B16" s="38" t="str">
        <f>Node!B9</f>
        <v>INVIHR11AMB1SAEU01NK</v>
      </c>
      <c r="C16" s="129" t="s">
        <v>134</v>
      </c>
      <c r="D16" s="129" t="s">
        <v>1345</v>
      </c>
      <c r="E16" s="129" t="s">
        <v>84</v>
      </c>
      <c r="F16" s="139" t="s">
        <v>83</v>
      </c>
      <c r="G16" s="139" t="s">
        <v>83</v>
      </c>
      <c r="H16" s="139" t="s">
        <v>83</v>
      </c>
      <c r="I16" s="139" t="s">
        <v>83</v>
      </c>
      <c r="J16" s="129" t="s">
        <v>36</v>
      </c>
      <c r="K16" s="129" t="s">
        <v>138</v>
      </c>
      <c r="L16" s="129" t="s">
        <v>36</v>
      </c>
      <c r="M16" s="129" t="s">
        <v>84</v>
      </c>
    </row>
    <row r="17" spans="2:13">
      <c r="B17" s="38" t="str">
        <f>Node!B9</f>
        <v>INVIHR11AMB1SAEU01NK</v>
      </c>
      <c r="C17" s="129" t="s">
        <v>139</v>
      </c>
      <c r="D17" s="129" t="s">
        <v>1345</v>
      </c>
      <c r="E17" s="129" t="s">
        <v>84</v>
      </c>
      <c r="F17" s="129" t="s">
        <v>84</v>
      </c>
      <c r="G17" s="129" t="s">
        <v>84</v>
      </c>
      <c r="H17" s="129" t="s">
        <v>84</v>
      </c>
      <c r="I17" s="129" t="s">
        <v>83</v>
      </c>
      <c r="J17" s="139" t="s">
        <v>83</v>
      </c>
      <c r="K17" s="129" t="s">
        <v>430</v>
      </c>
      <c r="L17" s="129" t="s">
        <v>36</v>
      </c>
      <c r="M17" s="129" t="s">
        <v>84</v>
      </c>
    </row>
    <row r="18" spans="2:13">
      <c r="B18" s="38" t="str">
        <f>Node!B9</f>
        <v>INVIHR11AMB1SAEU01NK</v>
      </c>
      <c r="C18" s="129" t="s">
        <v>496</v>
      </c>
      <c r="D18" s="129" t="s">
        <v>1345</v>
      </c>
      <c r="E18" s="129" t="s">
        <v>84</v>
      </c>
      <c r="F18" s="129" t="s">
        <v>84</v>
      </c>
      <c r="G18" s="129" t="s">
        <v>84</v>
      </c>
      <c r="H18" s="139" t="s">
        <v>83</v>
      </c>
      <c r="I18" s="139" t="s">
        <v>83</v>
      </c>
      <c r="J18" s="129" t="s">
        <v>84</v>
      </c>
      <c r="K18" s="129" t="s">
        <v>138</v>
      </c>
      <c r="L18" s="129" t="s">
        <v>36</v>
      </c>
      <c r="M18" s="129" t="s">
        <v>84</v>
      </c>
    </row>
    <row r="19" spans="2:13">
      <c r="B19" s="38" t="str">
        <f>Node!B9</f>
        <v>INVIHR11AMB1SAEU01NK</v>
      </c>
      <c r="C19" s="129" t="s">
        <v>497</v>
      </c>
      <c r="D19" s="129" t="s">
        <v>1345</v>
      </c>
      <c r="E19" s="129" t="s">
        <v>84</v>
      </c>
      <c r="F19" s="129" t="s">
        <v>84</v>
      </c>
      <c r="G19" s="129" t="s">
        <v>84</v>
      </c>
      <c r="H19" s="139" t="s">
        <v>83</v>
      </c>
      <c r="I19" s="129" t="s">
        <v>84</v>
      </c>
      <c r="J19" s="139" t="s">
        <v>83</v>
      </c>
      <c r="K19" s="129" t="s">
        <v>138</v>
      </c>
      <c r="L19" s="129" t="s">
        <v>36</v>
      </c>
      <c r="M19" s="129" t="s">
        <v>84</v>
      </c>
    </row>
  </sheetData>
  <mergeCells count="1">
    <mergeCell ref="B1:B3"/>
  </mergeCells>
  <dataValidations count="7">
    <dataValidation type="list" allowBlank="1" showInputMessage="1" showErrorMessage="1" sqref="G20:G42 G8:G19" xr:uid="{B955F6F7-B21D-4EE7-8F87-7B123AE513CD}">
      <formula1>$G$1:$G$3</formula1>
    </dataValidation>
    <dataValidation type="list" allowBlank="1" showInputMessage="1" showErrorMessage="1" sqref="H20:H116 H8:H19" xr:uid="{2165DC3C-CD51-440A-9B79-90A6ACABBC4D}">
      <formula1>$H$1:$H$3</formula1>
    </dataValidation>
    <dataValidation type="list" allowBlank="1" showInputMessage="1" showErrorMessage="1" sqref="I20:I81 I8:I19" xr:uid="{BA2FB6D2-26D5-4931-83E6-C16B668773A6}">
      <formula1>$I$1:$I$3</formula1>
    </dataValidation>
    <dataValidation type="list" allowBlank="1" showInputMessage="1" showErrorMessage="1" sqref="J20:J66 J8:J19" xr:uid="{C7CF925F-B7E7-4262-A470-4FB331E086AA}">
      <formula1>$J$1:$J$3</formula1>
    </dataValidation>
    <dataValidation type="list" allowBlank="1" showInputMessage="1" showErrorMessage="1" sqref="F8:F68" xr:uid="{C3F9525F-023B-4F44-B336-14BB0BD63BCE}">
      <formula1>$F$1:$F$3</formula1>
    </dataValidation>
    <dataValidation type="list" allowBlank="1" showInputMessage="1" showErrorMessage="1" sqref="L8:L48" xr:uid="{8BB89AB5-A730-48D3-9AE6-47291267FEFA}">
      <formula1>$L$1:$L$2</formula1>
    </dataValidation>
    <dataValidation type="list" allowBlank="1" showInputMessage="1" showErrorMessage="1" sqref="M8:M60" xr:uid="{8BB7C196-9799-44D0-A26A-05E6FDC5FB0E}">
      <formula1>$M$1:$M$2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New">
                <anchor moveWithCells="1">
                  <from>
                    <xdr:col>4</xdr:col>
                    <xdr:colOff>274320</xdr:colOff>
                    <xdr:row>3</xdr:row>
                    <xdr:rowOff>175260</xdr:rowOff>
                  </from>
                  <to>
                    <xdr:col>5</xdr:col>
                    <xdr:colOff>441960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C070-354C-46AE-BD43-AB12339D9045}">
  <sheetPr codeName="Sheet5"/>
  <dimension ref="A1:U17"/>
  <sheetViews>
    <sheetView zoomScale="80" zoomScaleNormal="80" workbookViewId="0">
      <selection activeCell="A17" sqref="A17:XFD17"/>
    </sheetView>
  </sheetViews>
  <sheetFormatPr defaultRowHeight="14.4"/>
  <cols>
    <col min="1" max="1" width="3" bestFit="1" customWidth="1"/>
    <col min="2" max="2" width="23.5546875" bestFit="1" customWidth="1"/>
    <col min="3" max="3" width="6.88671875" bestFit="1" customWidth="1"/>
    <col min="4" max="4" width="15.109375" bestFit="1" customWidth="1"/>
    <col min="5" max="5" width="15.77734375" bestFit="1" customWidth="1"/>
    <col min="6" max="6" width="9.88671875" bestFit="1" customWidth="1"/>
    <col min="7" max="7" width="12.33203125" bestFit="1" customWidth="1"/>
    <col min="8" max="8" width="11.77734375" bestFit="1" customWidth="1"/>
    <col min="9" max="9" width="15.6640625" bestFit="1" customWidth="1"/>
    <col min="10" max="10" width="10.21875" bestFit="1" customWidth="1"/>
    <col min="11" max="11" width="6.21875" bestFit="1" customWidth="1"/>
    <col min="12" max="12" width="6.88671875" bestFit="1" customWidth="1"/>
    <col min="13" max="13" width="17.88671875" bestFit="1" customWidth="1"/>
    <col min="14" max="15" width="11.33203125" bestFit="1" customWidth="1"/>
    <col min="16" max="16" width="12.88671875" bestFit="1" customWidth="1"/>
    <col min="17" max="17" width="8.44140625" bestFit="1" customWidth="1"/>
    <col min="18" max="18" width="8.21875" bestFit="1" customWidth="1"/>
    <col min="19" max="19" width="20.77734375" bestFit="1" customWidth="1"/>
    <col min="20" max="20" width="13.77734375" bestFit="1" customWidth="1"/>
    <col min="21" max="21" width="15.6640625" bestFit="1" customWidth="1"/>
  </cols>
  <sheetData>
    <row r="1" spans="1:21">
      <c r="A1" s="58" t="s">
        <v>6</v>
      </c>
      <c r="B1" s="344" t="s">
        <v>378</v>
      </c>
      <c r="C1" s="221" t="s">
        <v>536</v>
      </c>
      <c r="D1" s="221" t="s">
        <v>536</v>
      </c>
      <c r="E1" s="221" t="s">
        <v>83</v>
      </c>
      <c r="F1" s="221" t="s">
        <v>83</v>
      </c>
      <c r="G1" s="221" t="s">
        <v>83</v>
      </c>
      <c r="H1" s="221" t="s">
        <v>83</v>
      </c>
      <c r="I1" s="221" t="s">
        <v>83</v>
      </c>
      <c r="J1" s="221" t="s">
        <v>83</v>
      </c>
      <c r="K1" s="221" t="s">
        <v>83</v>
      </c>
      <c r="L1" s="221" t="s">
        <v>536</v>
      </c>
      <c r="M1" s="221" t="s">
        <v>536</v>
      </c>
      <c r="N1" s="221" t="s">
        <v>456</v>
      </c>
      <c r="O1" s="221" t="s">
        <v>536</v>
      </c>
      <c r="P1" s="221" t="s">
        <v>536</v>
      </c>
      <c r="Q1" s="50"/>
      <c r="R1" s="221" t="s">
        <v>536</v>
      </c>
      <c r="S1" s="221" t="s">
        <v>536</v>
      </c>
      <c r="T1" s="221" t="s">
        <v>536</v>
      </c>
      <c r="U1" s="221" t="s">
        <v>536</v>
      </c>
    </row>
    <row r="2" spans="1:21">
      <c r="A2" s="58" t="s">
        <v>6</v>
      </c>
      <c r="B2" s="344"/>
      <c r="C2" s="50"/>
      <c r="D2" s="221" t="s">
        <v>36</v>
      </c>
      <c r="E2" s="221" t="s">
        <v>84</v>
      </c>
      <c r="F2" s="221" t="s">
        <v>84</v>
      </c>
      <c r="G2" s="221" t="s">
        <v>84</v>
      </c>
      <c r="H2" s="221" t="s">
        <v>84</v>
      </c>
      <c r="I2" s="221" t="s">
        <v>84</v>
      </c>
      <c r="J2" s="221" t="s">
        <v>84</v>
      </c>
      <c r="K2" s="221" t="s">
        <v>84</v>
      </c>
      <c r="L2" s="221" t="s">
        <v>36</v>
      </c>
      <c r="M2" s="221" t="s">
        <v>36</v>
      </c>
      <c r="N2" s="221" t="s">
        <v>492</v>
      </c>
      <c r="O2" s="221" t="s">
        <v>36</v>
      </c>
      <c r="P2" s="221" t="s">
        <v>36</v>
      </c>
      <c r="Q2" s="50"/>
      <c r="R2" s="221" t="s">
        <v>36</v>
      </c>
      <c r="S2" s="221" t="s">
        <v>36</v>
      </c>
      <c r="T2" s="221" t="s">
        <v>36</v>
      </c>
      <c r="U2" s="221" t="s">
        <v>36</v>
      </c>
    </row>
    <row r="3" spans="1:21">
      <c r="A3" s="58" t="s">
        <v>6</v>
      </c>
      <c r="B3" s="344"/>
      <c r="C3" s="50"/>
      <c r="D3" s="51"/>
      <c r="E3" s="56"/>
      <c r="F3" s="50"/>
      <c r="G3" s="51"/>
      <c r="H3" s="50"/>
      <c r="I3" s="51"/>
      <c r="J3" s="56"/>
      <c r="K3" s="50"/>
      <c r="L3" s="51"/>
      <c r="M3" s="50"/>
      <c r="N3" s="221" t="s">
        <v>36</v>
      </c>
      <c r="O3" s="51"/>
      <c r="P3" s="56"/>
      <c r="Q3" s="50"/>
      <c r="R3" s="51"/>
      <c r="S3" s="56"/>
      <c r="T3" s="50"/>
      <c r="U3" s="51"/>
    </row>
    <row r="4" spans="1:21">
      <c r="A4" s="5" t="s">
        <v>6</v>
      </c>
      <c r="B4" s="7" t="s">
        <v>14</v>
      </c>
    </row>
    <row r="5" spans="1:21">
      <c r="A5" s="5" t="s">
        <v>6</v>
      </c>
      <c r="B5" s="128" t="s">
        <v>15</v>
      </c>
    </row>
    <row r="6" spans="1:21">
      <c r="A6" s="5" t="s">
        <v>6</v>
      </c>
      <c r="B6" s="8" t="s">
        <v>16</v>
      </c>
      <c r="K6" s="345" t="s">
        <v>607</v>
      </c>
      <c r="L6" s="345"/>
      <c r="M6" s="345"/>
      <c r="N6" s="345"/>
      <c r="O6" s="345"/>
      <c r="P6" s="345"/>
      <c r="Q6" s="345" t="s">
        <v>608</v>
      </c>
      <c r="R6" s="345"/>
      <c r="S6" s="345"/>
      <c r="T6" s="345"/>
      <c r="U6" s="345"/>
    </row>
    <row r="7" spans="1:21">
      <c r="B7" s="32" t="s">
        <v>17</v>
      </c>
      <c r="C7" s="32" t="s">
        <v>432</v>
      </c>
      <c r="D7" s="32" t="s">
        <v>499</v>
      </c>
      <c r="E7" s="32" t="s">
        <v>440</v>
      </c>
      <c r="F7" s="32" t="s">
        <v>433</v>
      </c>
      <c r="G7" s="32" t="s">
        <v>434</v>
      </c>
      <c r="H7" s="32" t="s">
        <v>435</v>
      </c>
      <c r="I7" s="35" t="s">
        <v>441</v>
      </c>
      <c r="J7" s="40" t="s">
        <v>490</v>
      </c>
      <c r="K7" s="35" t="s">
        <v>438</v>
      </c>
      <c r="L7" s="35" t="s">
        <v>439</v>
      </c>
      <c r="M7" s="35" t="s">
        <v>445</v>
      </c>
      <c r="N7" s="35" t="s">
        <v>442</v>
      </c>
      <c r="O7" s="35" t="s">
        <v>443</v>
      </c>
      <c r="P7" s="35" t="s">
        <v>444</v>
      </c>
      <c r="Q7" s="35" t="s">
        <v>436</v>
      </c>
      <c r="R7" s="35" t="s">
        <v>437</v>
      </c>
      <c r="S7" s="35" t="s">
        <v>446</v>
      </c>
      <c r="T7" s="35" t="s">
        <v>447</v>
      </c>
      <c r="U7" s="35" t="s">
        <v>448</v>
      </c>
    </row>
    <row r="8" spans="1:21">
      <c r="B8" s="136" t="str">
        <f>Node!B8</f>
        <v>INVIHR11AMB1SAEC01NK</v>
      </c>
      <c r="C8" s="130">
        <v>10</v>
      </c>
      <c r="D8" s="130" t="s">
        <v>36</v>
      </c>
      <c r="E8" s="130" t="s">
        <v>84</v>
      </c>
      <c r="F8" s="130" t="s">
        <v>84</v>
      </c>
      <c r="G8" s="130" t="s">
        <v>84</v>
      </c>
      <c r="H8" s="130" t="s">
        <v>84</v>
      </c>
      <c r="I8" s="140" t="s">
        <v>83</v>
      </c>
      <c r="J8" s="140" t="s">
        <v>83</v>
      </c>
      <c r="K8" s="140" t="s">
        <v>83</v>
      </c>
      <c r="L8" s="130" t="s">
        <v>36</v>
      </c>
      <c r="M8" s="130" t="s">
        <v>36</v>
      </c>
      <c r="N8" s="130" t="s">
        <v>36</v>
      </c>
      <c r="O8" s="130" t="s">
        <v>36</v>
      </c>
      <c r="P8" s="130" t="s">
        <v>36</v>
      </c>
      <c r="Q8" s="130" t="s">
        <v>84</v>
      </c>
      <c r="R8" s="130">
        <v>1</v>
      </c>
      <c r="S8" s="130" t="s">
        <v>1412</v>
      </c>
      <c r="T8" s="34" t="s">
        <v>449</v>
      </c>
      <c r="U8" s="34" t="s">
        <v>36</v>
      </c>
    </row>
    <row r="9" spans="1:21" ht="28.8">
      <c r="B9" s="276" t="str">
        <f>Node!B8</f>
        <v>INVIHR11AMB1SAEC01NK</v>
      </c>
      <c r="C9" s="130">
        <v>20</v>
      </c>
      <c r="D9" s="130" t="s">
        <v>487</v>
      </c>
      <c r="E9" s="130" t="s">
        <v>84</v>
      </c>
      <c r="F9" s="140" t="s">
        <v>83</v>
      </c>
      <c r="G9" s="130" t="s">
        <v>84</v>
      </c>
      <c r="H9" s="140" t="s">
        <v>83</v>
      </c>
      <c r="I9" s="140" t="s">
        <v>83</v>
      </c>
      <c r="J9" s="140" t="s">
        <v>83</v>
      </c>
      <c r="K9" s="130" t="s">
        <v>84</v>
      </c>
      <c r="L9" s="130">
        <v>10</v>
      </c>
      <c r="M9" s="141" t="s">
        <v>491</v>
      </c>
      <c r="N9" s="130" t="s">
        <v>492</v>
      </c>
      <c r="O9" s="130">
        <v>1440</v>
      </c>
      <c r="P9" s="130">
        <v>72</v>
      </c>
      <c r="Q9" s="140" t="s">
        <v>83</v>
      </c>
      <c r="R9" s="130" t="s">
        <v>36</v>
      </c>
      <c r="S9" s="130" t="s">
        <v>36</v>
      </c>
      <c r="T9" s="130" t="s">
        <v>36</v>
      </c>
      <c r="U9" s="130" t="s">
        <v>36</v>
      </c>
    </row>
    <row r="10" spans="1:21" ht="28.8">
      <c r="B10" s="276" t="str">
        <f>Node!B8</f>
        <v>INVIHR11AMB1SAEC01NK</v>
      </c>
      <c r="C10" s="130">
        <v>30</v>
      </c>
      <c r="D10" s="141" t="s">
        <v>488</v>
      </c>
      <c r="E10" s="130" t="s">
        <v>84</v>
      </c>
      <c r="F10" s="140" t="s">
        <v>83</v>
      </c>
      <c r="G10" s="140" t="s">
        <v>83</v>
      </c>
      <c r="H10" s="130" t="s">
        <v>84</v>
      </c>
      <c r="I10" s="140" t="s">
        <v>83</v>
      </c>
      <c r="J10" s="130" t="s">
        <v>83</v>
      </c>
      <c r="K10" s="130" t="s">
        <v>84</v>
      </c>
      <c r="L10" s="130">
        <v>11</v>
      </c>
      <c r="M10" s="141" t="s">
        <v>493</v>
      </c>
      <c r="N10" s="130" t="s">
        <v>492</v>
      </c>
      <c r="O10" s="130">
        <v>1440</v>
      </c>
      <c r="P10" s="130">
        <v>72</v>
      </c>
      <c r="Q10" s="140" t="s">
        <v>83</v>
      </c>
      <c r="R10" s="130" t="s">
        <v>36</v>
      </c>
      <c r="S10" s="130" t="s">
        <v>36</v>
      </c>
      <c r="T10" s="130" t="s">
        <v>36</v>
      </c>
      <c r="U10" s="130" t="s">
        <v>36</v>
      </c>
    </row>
    <row r="11" spans="1:21">
      <c r="B11" s="276" t="str">
        <f>Node!B8</f>
        <v>INVIHR11AMB1SAEC01NK</v>
      </c>
      <c r="C11" s="130">
        <v>40</v>
      </c>
      <c r="D11" s="130" t="s">
        <v>489</v>
      </c>
      <c r="E11" s="140" t="s">
        <v>83</v>
      </c>
      <c r="F11" s="140" t="s">
        <v>83</v>
      </c>
      <c r="G11" s="140" t="s">
        <v>83</v>
      </c>
      <c r="H11" s="140" t="s">
        <v>83</v>
      </c>
      <c r="I11" s="130" t="s">
        <v>84</v>
      </c>
      <c r="J11" s="130" t="s">
        <v>84</v>
      </c>
      <c r="K11" s="130" t="s">
        <v>83</v>
      </c>
      <c r="L11" s="130" t="s">
        <v>36</v>
      </c>
      <c r="M11" s="130" t="s">
        <v>36</v>
      </c>
      <c r="N11" s="130" t="s">
        <v>36</v>
      </c>
      <c r="O11" s="130" t="s">
        <v>36</v>
      </c>
      <c r="P11" s="130" t="s">
        <v>36</v>
      </c>
      <c r="Q11" s="140" t="s">
        <v>83</v>
      </c>
      <c r="R11" s="130" t="s">
        <v>36</v>
      </c>
      <c r="S11" s="130" t="s">
        <v>36</v>
      </c>
      <c r="T11" s="130" t="s">
        <v>36</v>
      </c>
      <c r="U11" s="130" t="s">
        <v>36</v>
      </c>
    </row>
    <row r="12" spans="1:21" ht="43.2">
      <c r="B12" s="276" t="str">
        <f>Node!B8</f>
        <v>INVIHR11AMB1SAEC01NK</v>
      </c>
      <c r="C12" s="130">
        <v>50</v>
      </c>
      <c r="D12" s="130" t="s">
        <v>1411</v>
      </c>
      <c r="E12" s="130" t="s">
        <v>84</v>
      </c>
      <c r="F12" s="130" t="s">
        <v>84</v>
      </c>
      <c r="G12" s="130" t="s">
        <v>84</v>
      </c>
      <c r="H12" s="130" t="s">
        <v>84</v>
      </c>
      <c r="I12" s="140" t="s">
        <v>83</v>
      </c>
      <c r="J12" s="140" t="s">
        <v>83</v>
      </c>
      <c r="K12" s="130" t="s">
        <v>84</v>
      </c>
      <c r="L12" s="130">
        <v>45</v>
      </c>
      <c r="M12" s="141" t="s">
        <v>494</v>
      </c>
      <c r="N12" s="130" t="s">
        <v>492</v>
      </c>
      <c r="O12" s="130">
        <v>1440</v>
      </c>
      <c r="P12" s="130">
        <v>120</v>
      </c>
      <c r="Q12" s="140" t="s">
        <v>83</v>
      </c>
      <c r="R12" s="130" t="s">
        <v>36</v>
      </c>
      <c r="S12" s="130" t="s">
        <v>36</v>
      </c>
      <c r="T12" s="130" t="s">
        <v>36</v>
      </c>
      <c r="U12" s="130" t="s">
        <v>36</v>
      </c>
    </row>
    <row r="13" spans="1:21">
      <c r="B13" s="134" t="str">
        <f>Node!B9</f>
        <v>INVIHR11AMB1SAEU01NK</v>
      </c>
      <c r="C13" s="130">
        <v>10</v>
      </c>
      <c r="D13" s="130" t="s">
        <v>36</v>
      </c>
      <c r="E13" s="130" t="s">
        <v>84</v>
      </c>
      <c r="F13" s="130" t="s">
        <v>84</v>
      </c>
      <c r="G13" s="130" t="s">
        <v>84</v>
      </c>
      <c r="H13" s="130" t="s">
        <v>84</v>
      </c>
      <c r="I13" s="140" t="s">
        <v>83</v>
      </c>
      <c r="J13" s="140" t="s">
        <v>83</v>
      </c>
      <c r="K13" s="140" t="s">
        <v>83</v>
      </c>
      <c r="L13" s="130" t="s">
        <v>36</v>
      </c>
      <c r="M13" s="130" t="s">
        <v>36</v>
      </c>
      <c r="N13" s="130" t="s">
        <v>36</v>
      </c>
      <c r="O13" s="130" t="s">
        <v>36</v>
      </c>
      <c r="P13" s="130" t="s">
        <v>36</v>
      </c>
      <c r="Q13" s="130" t="s">
        <v>84</v>
      </c>
      <c r="R13" s="130">
        <v>1</v>
      </c>
      <c r="S13" s="130" t="s">
        <v>1413</v>
      </c>
      <c r="T13" s="34" t="s">
        <v>449</v>
      </c>
      <c r="U13" s="34" t="s">
        <v>36</v>
      </c>
    </row>
    <row r="14" spans="1:21" ht="28.8">
      <c r="B14" s="290" t="str">
        <f>Node!B9</f>
        <v>INVIHR11AMB1SAEU01NK</v>
      </c>
      <c r="C14" s="130">
        <v>20</v>
      </c>
      <c r="D14" s="130" t="s">
        <v>487</v>
      </c>
      <c r="E14" s="130" t="s">
        <v>84</v>
      </c>
      <c r="F14" s="140" t="s">
        <v>83</v>
      </c>
      <c r="G14" s="130" t="s">
        <v>84</v>
      </c>
      <c r="H14" s="140" t="s">
        <v>83</v>
      </c>
      <c r="I14" s="140" t="s">
        <v>83</v>
      </c>
      <c r="J14" s="140" t="s">
        <v>83</v>
      </c>
      <c r="K14" s="130" t="s">
        <v>84</v>
      </c>
      <c r="L14" s="130">
        <v>10</v>
      </c>
      <c r="M14" s="141" t="s">
        <v>491</v>
      </c>
      <c r="N14" s="130" t="s">
        <v>492</v>
      </c>
      <c r="O14" s="130">
        <v>1440</v>
      </c>
      <c r="P14" s="130">
        <v>72</v>
      </c>
      <c r="Q14" s="140" t="s">
        <v>83</v>
      </c>
      <c r="R14" s="130" t="s">
        <v>36</v>
      </c>
      <c r="S14" s="130" t="s">
        <v>36</v>
      </c>
      <c r="T14" s="130" t="s">
        <v>36</v>
      </c>
      <c r="U14" s="130" t="s">
        <v>36</v>
      </c>
    </row>
    <row r="15" spans="1:21" ht="28.8">
      <c r="B15" s="290" t="str">
        <f>Node!B9</f>
        <v>INVIHR11AMB1SAEU01NK</v>
      </c>
      <c r="C15" s="130">
        <v>30</v>
      </c>
      <c r="D15" s="141" t="s">
        <v>488</v>
      </c>
      <c r="E15" s="130" t="s">
        <v>84</v>
      </c>
      <c r="F15" s="140" t="s">
        <v>83</v>
      </c>
      <c r="G15" s="140" t="s">
        <v>83</v>
      </c>
      <c r="H15" s="130" t="s">
        <v>84</v>
      </c>
      <c r="I15" s="140" t="s">
        <v>83</v>
      </c>
      <c r="J15" s="130" t="s">
        <v>83</v>
      </c>
      <c r="K15" s="130" t="s">
        <v>84</v>
      </c>
      <c r="L15" s="130">
        <v>11</v>
      </c>
      <c r="M15" s="141" t="s">
        <v>493</v>
      </c>
      <c r="N15" s="130" t="s">
        <v>492</v>
      </c>
      <c r="O15" s="130">
        <v>1440</v>
      </c>
      <c r="P15" s="130">
        <v>72</v>
      </c>
      <c r="Q15" s="140" t="s">
        <v>83</v>
      </c>
      <c r="R15" s="130" t="s">
        <v>36</v>
      </c>
      <c r="S15" s="130" t="s">
        <v>36</v>
      </c>
      <c r="T15" s="130" t="s">
        <v>36</v>
      </c>
      <c r="U15" s="130" t="s">
        <v>36</v>
      </c>
    </row>
    <row r="16" spans="1:21">
      <c r="B16" s="290" t="str">
        <f>Node!B9</f>
        <v>INVIHR11AMB1SAEU01NK</v>
      </c>
      <c r="C16" s="130">
        <v>40</v>
      </c>
      <c r="D16" s="130" t="s">
        <v>489</v>
      </c>
      <c r="E16" s="140" t="s">
        <v>83</v>
      </c>
      <c r="F16" s="140" t="s">
        <v>83</v>
      </c>
      <c r="G16" s="140" t="s">
        <v>83</v>
      </c>
      <c r="H16" s="140" t="s">
        <v>83</v>
      </c>
      <c r="I16" s="130" t="s">
        <v>84</v>
      </c>
      <c r="J16" s="130" t="s">
        <v>84</v>
      </c>
      <c r="K16" s="130" t="s">
        <v>83</v>
      </c>
      <c r="L16" s="130" t="s">
        <v>36</v>
      </c>
      <c r="M16" s="130" t="s">
        <v>36</v>
      </c>
      <c r="N16" s="130" t="s">
        <v>36</v>
      </c>
      <c r="O16" s="130" t="s">
        <v>36</v>
      </c>
      <c r="P16" s="130" t="s">
        <v>36</v>
      </c>
      <c r="Q16" s="140" t="s">
        <v>83</v>
      </c>
      <c r="R16" s="130" t="s">
        <v>36</v>
      </c>
      <c r="S16" s="130" t="s">
        <v>36</v>
      </c>
      <c r="T16" s="130" t="s">
        <v>36</v>
      </c>
      <c r="U16" s="130" t="s">
        <v>36</v>
      </c>
    </row>
    <row r="17" spans="2:21" ht="43.2">
      <c r="B17" s="290" t="str">
        <f>Node!B9</f>
        <v>INVIHR11AMB1SAEU01NK</v>
      </c>
      <c r="C17" s="130">
        <v>50</v>
      </c>
      <c r="D17" s="130" t="s">
        <v>36</v>
      </c>
      <c r="E17" s="130" t="s">
        <v>84</v>
      </c>
      <c r="F17" s="130" t="s">
        <v>84</v>
      </c>
      <c r="G17" s="130" t="s">
        <v>84</v>
      </c>
      <c r="H17" s="130" t="s">
        <v>84</v>
      </c>
      <c r="I17" s="140" t="s">
        <v>83</v>
      </c>
      <c r="J17" s="140" t="s">
        <v>83</v>
      </c>
      <c r="K17" s="130" t="s">
        <v>84</v>
      </c>
      <c r="L17" s="130">
        <v>45</v>
      </c>
      <c r="M17" s="141" t="s">
        <v>494</v>
      </c>
      <c r="N17" s="130" t="s">
        <v>492</v>
      </c>
      <c r="O17" s="130">
        <v>1440</v>
      </c>
      <c r="P17" s="130">
        <v>120</v>
      </c>
      <c r="Q17" s="140" t="s">
        <v>83</v>
      </c>
      <c r="R17" s="130" t="s">
        <v>36</v>
      </c>
      <c r="S17" s="130" t="s">
        <v>36</v>
      </c>
      <c r="T17" s="130" t="s">
        <v>36</v>
      </c>
      <c r="U17" s="130" t="s">
        <v>36</v>
      </c>
    </row>
  </sheetData>
  <mergeCells count="3">
    <mergeCell ref="B1:B3"/>
    <mergeCell ref="K6:P6"/>
    <mergeCell ref="Q6:U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New">
                <anchor moveWithCells="1">
                  <from>
                    <xdr:col>5</xdr:col>
                    <xdr:colOff>289560</xdr:colOff>
                    <xdr:row>3</xdr:row>
                    <xdr:rowOff>152400</xdr:rowOff>
                  </from>
                  <to>
                    <xdr:col>6</xdr:col>
                    <xdr:colOff>502920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47D14-E341-41D6-92AC-4F3E0EC12002}">
  <sheetPr codeName="Sheet6"/>
  <dimension ref="A1:K15"/>
  <sheetViews>
    <sheetView zoomScale="80" zoomScaleNormal="80" workbookViewId="0">
      <selection activeCell="D22" sqref="D22"/>
    </sheetView>
  </sheetViews>
  <sheetFormatPr defaultRowHeight="14.4"/>
  <cols>
    <col min="1" max="1" width="3" customWidth="1"/>
    <col min="2" max="2" width="23.5546875" bestFit="1" customWidth="1"/>
    <col min="3" max="3" width="15.77734375" bestFit="1" customWidth="1"/>
    <col min="4" max="4" width="26.6640625" bestFit="1" customWidth="1"/>
    <col min="5" max="5" width="15.6640625" bestFit="1" customWidth="1"/>
    <col min="6" max="6" width="16.5546875" bestFit="1" customWidth="1"/>
    <col min="7" max="7" width="8.77734375" bestFit="1" customWidth="1"/>
    <col min="8" max="8" width="17.109375" bestFit="1" customWidth="1"/>
    <col min="9" max="10" width="14.33203125" bestFit="1" customWidth="1"/>
    <col min="11" max="11" width="15.6640625" bestFit="1" customWidth="1"/>
  </cols>
  <sheetData>
    <row r="1" spans="1:11">
      <c r="A1" s="58" t="s">
        <v>6</v>
      </c>
      <c r="B1" s="344" t="s">
        <v>378</v>
      </c>
      <c r="C1" s="221" t="s">
        <v>536</v>
      </c>
      <c r="D1" s="221" t="s">
        <v>536</v>
      </c>
      <c r="E1" s="221" t="s">
        <v>536</v>
      </c>
      <c r="F1" s="221" t="s">
        <v>536</v>
      </c>
      <c r="G1" s="221" t="s">
        <v>536</v>
      </c>
      <c r="H1" s="221" t="s">
        <v>536</v>
      </c>
      <c r="I1" s="221" t="s">
        <v>456</v>
      </c>
      <c r="J1" s="221" t="s">
        <v>536</v>
      </c>
      <c r="K1" s="221" t="s">
        <v>536</v>
      </c>
    </row>
    <row r="2" spans="1:11">
      <c r="A2" s="58" t="s">
        <v>6</v>
      </c>
      <c r="B2" s="344"/>
      <c r="C2" s="50"/>
      <c r="D2" s="221" t="s">
        <v>36</v>
      </c>
      <c r="E2" s="50"/>
      <c r="F2" s="221" t="s">
        <v>36</v>
      </c>
      <c r="G2" s="51"/>
      <c r="H2" s="221" t="s">
        <v>36</v>
      </c>
      <c r="I2" s="221" t="s">
        <v>492</v>
      </c>
      <c r="J2" s="50"/>
      <c r="K2" s="50"/>
    </row>
    <row r="3" spans="1:11">
      <c r="A3" s="58" t="s">
        <v>6</v>
      </c>
      <c r="B3" s="344"/>
      <c r="C3" s="50"/>
      <c r="D3" s="51"/>
      <c r="E3" s="56"/>
      <c r="F3" s="50"/>
      <c r="G3" s="51"/>
      <c r="H3" s="50"/>
      <c r="I3" s="50"/>
      <c r="J3" s="50"/>
      <c r="K3" s="50"/>
    </row>
    <row r="4" spans="1:11">
      <c r="A4" s="5" t="s">
        <v>6</v>
      </c>
      <c r="B4" s="7" t="s">
        <v>14</v>
      </c>
    </row>
    <row r="5" spans="1:11">
      <c r="A5" s="5" t="s">
        <v>6</v>
      </c>
      <c r="B5" s="128" t="s">
        <v>15</v>
      </c>
    </row>
    <row r="6" spans="1:11">
      <c r="A6" s="5" t="s">
        <v>6</v>
      </c>
      <c r="B6" s="8" t="s">
        <v>16</v>
      </c>
      <c r="G6" s="345" t="s">
        <v>609</v>
      </c>
      <c r="H6" s="345"/>
      <c r="I6" s="345"/>
      <c r="J6" s="345"/>
      <c r="K6" s="345"/>
    </row>
    <row r="7" spans="1:11">
      <c r="B7" s="32" t="s">
        <v>17</v>
      </c>
      <c r="C7" s="32" t="s">
        <v>450</v>
      </c>
      <c r="D7" s="32" t="s">
        <v>500</v>
      </c>
      <c r="E7" s="32" t="s">
        <v>451</v>
      </c>
      <c r="F7" s="32" t="s">
        <v>452</v>
      </c>
      <c r="G7" s="32" t="s">
        <v>501</v>
      </c>
      <c r="H7" s="32" t="s">
        <v>502</v>
      </c>
      <c r="I7" s="32" t="s">
        <v>503</v>
      </c>
      <c r="J7" s="32" t="s">
        <v>504</v>
      </c>
      <c r="K7" s="32" t="s">
        <v>505</v>
      </c>
    </row>
    <row r="8" spans="1:11">
      <c r="B8" s="136" t="str">
        <f>Node!B8</f>
        <v>INVIHR11AMB1SAEC01NK</v>
      </c>
      <c r="C8" s="130">
        <v>1</v>
      </c>
      <c r="D8" s="130" t="s">
        <v>453</v>
      </c>
      <c r="E8" s="130" t="s">
        <v>454</v>
      </c>
      <c r="F8" s="130">
        <v>15</v>
      </c>
      <c r="G8" s="130">
        <v>1</v>
      </c>
      <c r="H8" s="130" t="s">
        <v>455</v>
      </c>
      <c r="I8" s="130" t="s">
        <v>456</v>
      </c>
      <c r="J8" s="130">
        <v>15</v>
      </c>
      <c r="K8" s="130">
        <v>168</v>
      </c>
    </row>
    <row r="9" spans="1:11">
      <c r="B9" s="290" t="str">
        <f>Node!B9</f>
        <v>INVIHR11AMB1SAEU01NK</v>
      </c>
      <c r="C9" s="130">
        <v>1</v>
      </c>
      <c r="D9" s="130" t="s">
        <v>453</v>
      </c>
      <c r="E9" s="130" t="s">
        <v>454</v>
      </c>
      <c r="F9" s="130">
        <v>15</v>
      </c>
      <c r="G9" s="130">
        <v>1</v>
      </c>
      <c r="H9" s="130" t="s">
        <v>455</v>
      </c>
      <c r="I9" s="130" t="s">
        <v>456</v>
      </c>
      <c r="J9" s="130">
        <v>15</v>
      </c>
      <c r="K9" s="130">
        <v>168</v>
      </c>
    </row>
    <row r="10" spans="1:11">
      <c r="B10" s="38" t="str">
        <f>Node!B9</f>
        <v>INVIHR11AMB1SAEU01NK</v>
      </c>
      <c r="C10" s="130">
        <v>2</v>
      </c>
      <c r="D10" s="130" t="s">
        <v>36</v>
      </c>
      <c r="E10" s="130" t="s">
        <v>481</v>
      </c>
      <c r="F10" s="130">
        <v>60</v>
      </c>
      <c r="G10" s="130">
        <v>2</v>
      </c>
      <c r="H10" s="130" t="s">
        <v>36</v>
      </c>
      <c r="I10" s="130" t="s">
        <v>456</v>
      </c>
      <c r="J10" s="130">
        <v>60</v>
      </c>
      <c r="K10" s="130">
        <v>12</v>
      </c>
    </row>
    <row r="11" spans="1:11">
      <c r="B11" s="38" t="str">
        <f>Node!B9</f>
        <v>INVIHR11AMB1SAEU01NK</v>
      </c>
      <c r="C11" s="130">
        <v>3</v>
      </c>
      <c r="D11" s="130" t="s">
        <v>36</v>
      </c>
      <c r="E11" s="130" t="s">
        <v>482</v>
      </c>
      <c r="F11" s="130" t="s">
        <v>36</v>
      </c>
      <c r="G11" s="130">
        <v>3</v>
      </c>
      <c r="H11" s="130" t="s">
        <v>36</v>
      </c>
      <c r="I11" s="130" t="s">
        <v>456</v>
      </c>
      <c r="J11" s="130">
        <v>15</v>
      </c>
      <c r="K11" s="130">
        <v>48</v>
      </c>
    </row>
    <row r="12" spans="1:11">
      <c r="B12" s="38" t="str">
        <f>Node!B9</f>
        <v>INVIHR11AMB1SAEU01NK</v>
      </c>
      <c r="C12" s="130">
        <v>4</v>
      </c>
      <c r="D12" s="130" t="s">
        <v>36</v>
      </c>
      <c r="E12" s="130" t="s">
        <v>483</v>
      </c>
      <c r="F12" s="130">
        <v>60</v>
      </c>
      <c r="G12" s="130">
        <v>4</v>
      </c>
      <c r="H12" s="130" t="s">
        <v>36</v>
      </c>
      <c r="I12" s="130" t="s">
        <v>456</v>
      </c>
      <c r="J12" s="130">
        <v>15</v>
      </c>
      <c r="K12" s="130">
        <v>168</v>
      </c>
    </row>
    <row r="13" spans="1:11">
      <c r="B13" s="38" t="str">
        <f>Node!B9</f>
        <v>INVIHR11AMB1SAEU01NK</v>
      </c>
      <c r="C13" s="130">
        <v>5</v>
      </c>
      <c r="D13" s="130" t="s">
        <v>36</v>
      </c>
      <c r="E13" s="130" t="s">
        <v>484</v>
      </c>
      <c r="F13" s="130">
        <v>60</v>
      </c>
      <c r="G13" s="130">
        <v>5</v>
      </c>
      <c r="H13" s="130" t="s">
        <v>36</v>
      </c>
      <c r="I13" s="130" t="s">
        <v>456</v>
      </c>
      <c r="J13" s="130">
        <v>15</v>
      </c>
      <c r="K13" s="130">
        <v>168</v>
      </c>
    </row>
    <row r="14" spans="1:11">
      <c r="B14" s="38" t="str">
        <f>Node!B9</f>
        <v>INVIHR11AMB1SAEU01NK</v>
      </c>
      <c r="C14" s="130">
        <v>6</v>
      </c>
      <c r="D14" s="130" t="s">
        <v>36</v>
      </c>
      <c r="E14" s="130" t="s">
        <v>485</v>
      </c>
      <c r="F14" s="130">
        <v>60</v>
      </c>
      <c r="G14" s="130">
        <v>6</v>
      </c>
      <c r="H14" s="130" t="s">
        <v>36</v>
      </c>
      <c r="I14" s="130" t="s">
        <v>456</v>
      </c>
      <c r="J14" s="130">
        <v>15</v>
      </c>
      <c r="K14" s="130">
        <v>168</v>
      </c>
    </row>
    <row r="15" spans="1:11">
      <c r="B15" s="38" t="str">
        <f>Node!B9</f>
        <v>INVIHR11AMB1SAEU01NK</v>
      </c>
      <c r="C15" s="130">
        <v>7</v>
      </c>
      <c r="D15" s="130" t="s">
        <v>36</v>
      </c>
      <c r="E15" s="130" t="s">
        <v>486</v>
      </c>
      <c r="F15" s="130">
        <v>60</v>
      </c>
      <c r="G15" s="130">
        <v>7</v>
      </c>
      <c r="H15" s="130" t="s">
        <v>36</v>
      </c>
      <c r="I15" s="130" t="s">
        <v>456</v>
      </c>
      <c r="J15" s="130">
        <v>15</v>
      </c>
      <c r="K15" s="130">
        <v>168</v>
      </c>
    </row>
  </sheetData>
  <mergeCells count="2">
    <mergeCell ref="B1:B3"/>
    <mergeCell ref="G6:K6"/>
  </mergeCells>
  <dataValidations count="2">
    <dataValidation type="list" allowBlank="1" showInputMessage="1" showErrorMessage="1" sqref="H8:H93 D8:F93" xr:uid="{8E05AB1B-1602-4E00-933E-9934DFBC44B5}">
      <formula1>$D$1:$D$2</formula1>
    </dataValidation>
    <dataValidation type="list" allowBlank="1" showInputMessage="1" showErrorMessage="1" sqref="I8:I105" xr:uid="{CC9DB131-44E0-4529-A7B4-827D97E23BE6}">
      <formula1>$I$1:$I$2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New">
                <anchor moveWithCells="1">
                  <from>
                    <xdr:col>4</xdr:col>
                    <xdr:colOff>441960</xdr:colOff>
                    <xdr:row>3</xdr:row>
                    <xdr:rowOff>137160</xdr:rowOff>
                  </from>
                  <to>
                    <xdr:col>5</xdr:col>
                    <xdr:colOff>480060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224D3-BEEB-4E7A-A0EE-C62A9C67619F}">
  <sheetPr codeName="Sheet7"/>
  <dimension ref="A1:I9"/>
  <sheetViews>
    <sheetView zoomScaleNormal="100" workbookViewId="0">
      <selection activeCell="C10" sqref="C10"/>
    </sheetView>
  </sheetViews>
  <sheetFormatPr defaultColWidth="17.88671875" defaultRowHeight="14.4"/>
  <cols>
    <col min="1" max="1" width="2.6640625" bestFit="1" customWidth="1"/>
    <col min="2" max="2" width="20.33203125" customWidth="1"/>
    <col min="3" max="3" width="18.109375" customWidth="1"/>
    <col min="4" max="4" width="10.44140625" bestFit="1" customWidth="1"/>
    <col min="5" max="5" width="12.33203125" bestFit="1" customWidth="1"/>
    <col min="6" max="6" width="21.5546875" customWidth="1"/>
    <col min="7" max="7" width="13.6640625" bestFit="1" customWidth="1"/>
    <col min="8" max="8" width="36.33203125" customWidth="1"/>
    <col min="9" max="9" width="34.44140625" customWidth="1"/>
    <col min="10" max="10" width="8.33203125" bestFit="1" customWidth="1"/>
    <col min="11" max="11" width="11.109375" bestFit="1" customWidth="1"/>
    <col min="12" max="13" width="12.6640625" bestFit="1" customWidth="1"/>
    <col min="14" max="14" width="11" bestFit="1" customWidth="1"/>
    <col min="15" max="15" width="5.6640625" bestFit="1" customWidth="1"/>
    <col min="16" max="16" width="8.33203125" bestFit="1" customWidth="1"/>
    <col min="17" max="17" width="11.33203125" bestFit="1" customWidth="1"/>
    <col min="18" max="20" width="12.6640625" bestFit="1" customWidth="1"/>
    <col min="21" max="21" width="12.88671875" bestFit="1" customWidth="1"/>
    <col min="22" max="22" width="14.44140625" bestFit="1" customWidth="1"/>
    <col min="23" max="23" width="11.33203125" bestFit="1" customWidth="1"/>
    <col min="24" max="24" width="10.6640625" bestFit="1" customWidth="1"/>
    <col min="25" max="25" width="11.6640625" bestFit="1" customWidth="1"/>
    <col min="26" max="26" width="6.44140625" bestFit="1" customWidth="1"/>
    <col min="27" max="27" width="10.6640625" bestFit="1" customWidth="1"/>
    <col min="28" max="28" width="9" bestFit="1" customWidth="1"/>
    <col min="29" max="29" width="9.109375" bestFit="1" customWidth="1"/>
    <col min="30" max="30" width="9.33203125" bestFit="1" customWidth="1"/>
    <col min="31" max="31" width="8" bestFit="1" customWidth="1"/>
    <col min="32" max="32" width="7" bestFit="1" customWidth="1"/>
    <col min="33" max="33" width="7.33203125" bestFit="1" customWidth="1"/>
    <col min="34" max="34" width="17.5546875" bestFit="1" customWidth="1"/>
    <col min="35" max="35" width="17.44140625" bestFit="1" customWidth="1"/>
    <col min="36" max="36" width="5.6640625" bestFit="1" customWidth="1"/>
    <col min="37" max="37" width="11.5546875" bestFit="1" customWidth="1"/>
    <col min="38" max="38" width="16.33203125" bestFit="1" customWidth="1"/>
    <col min="39" max="39" width="17.44140625" bestFit="1" customWidth="1"/>
    <col min="40" max="40" width="17.33203125" bestFit="1" customWidth="1"/>
    <col min="41" max="41" width="17.6640625" bestFit="1" customWidth="1"/>
    <col min="42" max="42" width="16.33203125" bestFit="1" customWidth="1"/>
    <col min="44" max="44" width="17.33203125" bestFit="1" customWidth="1"/>
    <col min="45" max="45" width="17.6640625" bestFit="1" customWidth="1"/>
  </cols>
  <sheetData>
    <row r="1" spans="1:9">
      <c r="A1" s="58" t="s">
        <v>6</v>
      </c>
      <c r="B1" s="344" t="s">
        <v>378</v>
      </c>
      <c r="C1" s="221" t="s">
        <v>596</v>
      </c>
      <c r="D1" s="221" t="s">
        <v>536</v>
      </c>
      <c r="E1" s="221" t="s">
        <v>536</v>
      </c>
      <c r="F1" s="221" t="s">
        <v>536</v>
      </c>
      <c r="G1" s="221" t="s">
        <v>536</v>
      </c>
      <c r="H1" s="221" t="s">
        <v>536</v>
      </c>
      <c r="I1" s="221" t="s">
        <v>536</v>
      </c>
    </row>
    <row r="2" spans="1:9">
      <c r="A2" s="58" t="s">
        <v>6</v>
      </c>
      <c r="B2" s="344"/>
      <c r="C2" s="221" t="s">
        <v>597</v>
      </c>
      <c r="D2" s="50"/>
      <c r="E2" s="51"/>
      <c r="F2" s="51"/>
      <c r="G2" s="221" t="s">
        <v>36</v>
      </c>
      <c r="H2" s="221" t="s">
        <v>36</v>
      </c>
      <c r="I2" s="221" t="s">
        <v>36</v>
      </c>
    </row>
    <row r="3" spans="1:9">
      <c r="A3" s="58" t="s">
        <v>6</v>
      </c>
      <c r="B3" s="344"/>
      <c r="C3" s="50" t="s">
        <v>36</v>
      </c>
      <c r="D3" s="50"/>
      <c r="E3" s="51"/>
      <c r="F3" s="56"/>
      <c r="G3" s="50"/>
      <c r="H3" s="50"/>
      <c r="I3" s="51"/>
    </row>
    <row r="4" spans="1:9">
      <c r="A4" s="5" t="s">
        <v>6</v>
      </c>
      <c r="B4" s="7" t="s">
        <v>14</v>
      </c>
    </row>
    <row r="5" spans="1:9">
      <c r="A5" s="5" t="s">
        <v>6</v>
      </c>
      <c r="B5" s="128" t="s">
        <v>15</v>
      </c>
    </row>
    <row r="6" spans="1:9">
      <c r="A6" s="5" t="s">
        <v>6</v>
      </c>
      <c r="B6" s="8" t="s">
        <v>16</v>
      </c>
    </row>
    <row r="7" spans="1:9">
      <c r="B7" s="31" t="s">
        <v>17</v>
      </c>
      <c r="C7" s="31" t="s">
        <v>598</v>
      </c>
      <c r="D7" s="31" t="s">
        <v>383</v>
      </c>
      <c r="E7" s="31" t="s">
        <v>384</v>
      </c>
      <c r="F7" s="31" t="s">
        <v>514</v>
      </c>
      <c r="G7" s="31" t="s">
        <v>400</v>
      </c>
      <c r="H7" s="32" t="s">
        <v>515</v>
      </c>
      <c r="I7" s="32" t="s">
        <v>516</v>
      </c>
    </row>
    <row r="8" spans="1:9" s="20" customFormat="1" ht="28.8">
      <c r="B8" s="21" t="str">
        <f>Node!B8</f>
        <v>INVIHR11AMB1SAEC01NK</v>
      </c>
      <c r="C8" s="142" t="s">
        <v>596</v>
      </c>
      <c r="D8" s="34">
        <f>'[1]Node Info'!$E$5</f>
        <v>404</v>
      </c>
      <c r="E8" s="34">
        <f>'[1]Node Info'!$F$5</f>
        <v>12</v>
      </c>
      <c r="F8" s="259" t="str">
        <f>_xlfn.CONCAT(D8,".0",E8,".","PGW.CP.01.1")</f>
        <v>404.012.PGW.CP.01.1</v>
      </c>
      <c r="G8" s="34" t="s">
        <v>106</v>
      </c>
      <c r="H8" s="42" t="str">
        <f>_xlfn.CONCAT('[1]Node Info'!$I$5,".",I8)</f>
        <v>INVIHR11AMB1SAEC01NK.epc.mnc012.mcc404.3gppnetwork.org</v>
      </c>
      <c r="I8" s="42" t="str">
        <f>'[1]Node Info'!$J$5</f>
        <v>epc.mnc012.mcc404.3gppnetwork.org</v>
      </c>
    </row>
    <row r="9" spans="1:9" s="20" customFormat="1">
      <c r="B9" s="120" t="str">
        <f>Node!B9</f>
        <v>INVIHR11AMB1SAEU01NK</v>
      </c>
      <c r="C9" s="142" t="s">
        <v>597</v>
      </c>
      <c r="D9" s="34">
        <f>'[1]Node Info'!$E$5</f>
        <v>404</v>
      </c>
      <c r="E9" s="34">
        <f>'[1]Node Info'!$F$5</f>
        <v>12</v>
      </c>
      <c r="F9" s="259" t="str">
        <f>_xlfn.CONCAT(D9,".0",E9,".","PGW.UP.01.1")</f>
        <v>404.012.PGW.UP.01.1</v>
      </c>
      <c r="G9" s="34" t="s">
        <v>36</v>
      </c>
      <c r="H9" s="42" t="s">
        <v>36</v>
      </c>
      <c r="I9" s="42" t="s">
        <v>36</v>
      </c>
    </row>
  </sheetData>
  <mergeCells count="1">
    <mergeCell ref="B1:B3"/>
  </mergeCells>
  <dataValidations count="1">
    <dataValidation type="list" allowBlank="1" showInputMessage="1" showErrorMessage="1" sqref="C8:C24" xr:uid="{2523CB36-E577-44CA-9BD3-1419643865D4}">
      <formula1>$C$1:$C$2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New">
                <anchor moveWithCells="1">
                  <from>
                    <xdr:col>5</xdr:col>
                    <xdr:colOff>525780</xdr:colOff>
                    <xdr:row>3</xdr:row>
                    <xdr:rowOff>106680</xdr:rowOff>
                  </from>
                  <to>
                    <xdr:col>6</xdr:col>
                    <xdr:colOff>83820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7406-63D6-4C2C-BCAD-71E09D837D37}">
  <sheetPr codeName="Sheet8"/>
  <dimension ref="A1:P11"/>
  <sheetViews>
    <sheetView zoomScale="90" zoomScaleNormal="90" workbookViewId="0">
      <selection activeCell="G9" sqref="G9"/>
    </sheetView>
  </sheetViews>
  <sheetFormatPr defaultColWidth="47.33203125" defaultRowHeight="14.4"/>
  <cols>
    <col min="1" max="1" width="3.109375" bestFit="1" customWidth="1"/>
    <col min="2" max="2" width="24.5546875" bestFit="1" customWidth="1"/>
    <col min="3" max="3" width="24.109375" bestFit="1" customWidth="1"/>
    <col min="4" max="4" width="15.21875" bestFit="1" customWidth="1"/>
    <col min="5" max="5" width="34.77734375" bestFit="1" customWidth="1"/>
    <col min="6" max="6" width="15.21875" bestFit="1" customWidth="1"/>
    <col min="7" max="7" width="6.77734375" bestFit="1" customWidth="1"/>
    <col min="8" max="8" width="12.21875" bestFit="1" customWidth="1"/>
    <col min="9" max="9" width="14.88671875" bestFit="1" customWidth="1"/>
    <col min="10" max="10" width="7.6640625" bestFit="1" customWidth="1"/>
    <col min="11" max="11" width="11.5546875" bestFit="1" customWidth="1"/>
    <col min="12" max="12" width="17.5546875" bestFit="1" customWidth="1"/>
    <col min="13" max="13" width="16.33203125" bestFit="1" customWidth="1"/>
    <col min="14" max="14" width="17.77734375" bestFit="1" customWidth="1"/>
    <col min="15" max="15" width="16.88671875" bestFit="1" customWidth="1"/>
    <col min="16" max="16" width="14.6640625" bestFit="1" customWidth="1"/>
  </cols>
  <sheetData>
    <row r="1" spans="1:16" ht="27.6">
      <c r="A1" s="58" t="s">
        <v>6</v>
      </c>
      <c r="B1" s="344" t="s">
        <v>378</v>
      </c>
      <c r="C1" s="263" t="s">
        <v>536</v>
      </c>
      <c r="D1" s="263" t="s">
        <v>385</v>
      </c>
      <c r="E1" s="263" t="s">
        <v>536</v>
      </c>
      <c r="F1" s="263" t="s">
        <v>399</v>
      </c>
      <c r="G1" s="263" t="s">
        <v>536</v>
      </c>
      <c r="H1" s="263" t="s">
        <v>536</v>
      </c>
      <c r="I1" s="263" t="s">
        <v>536</v>
      </c>
      <c r="J1" s="263" t="s">
        <v>536</v>
      </c>
      <c r="K1" s="263" t="s">
        <v>536</v>
      </c>
      <c r="L1" s="263" t="s">
        <v>536</v>
      </c>
      <c r="M1" s="263" t="s">
        <v>536</v>
      </c>
      <c r="N1" s="263" t="s">
        <v>536</v>
      </c>
      <c r="O1" s="263" t="s">
        <v>536</v>
      </c>
      <c r="P1" s="263" t="s">
        <v>536</v>
      </c>
    </row>
    <row r="2" spans="1:16">
      <c r="A2" s="58" t="s">
        <v>6</v>
      </c>
      <c r="B2" s="344"/>
      <c r="C2" s="263"/>
      <c r="D2" s="263" t="s">
        <v>386</v>
      </c>
      <c r="E2" s="275" t="s">
        <v>1366</v>
      </c>
      <c r="F2" s="263"/>
      <c r="G2" s="51"/>
      <c r="H2" s="51"/>
      <c r="I2" s="277" t="s">
        <v>1367</v>
      </c>
      <c r="J2" s="51">
        <v>3868</v>
      </c>
      <c r="K2" s="263" t="s">
        <v>36</v>
      </c>
      <c r="L2" s="263" t="s">
        <v>36</v>
      </c>
      <c r="M2" s="263" t="s">
        <v>36</v>
      </c>
      <c r="N2" s="263" t="s">
        <v>36</v>
      </c>
      <c r="O2" s="263" t="s">
        <v>36</v>
      </c>
      <c r="P2" s="263" t="s">
        <v>36</v>
      </c>
    </row>
    <row r="3" spans="1:16">
      <c r="A3" s="58" t="s">
        <v>6</v>
      </c>
      <c r="B3" s="344"/>
      <c r="C3" s="263"/>
      <c r="D3" s="51"/>
      <c r="E3" s="56"/>
      <c r="F3" s="263"/>
      <c r="G3" s="51"/>
      <c r="H3" s="51"/>
      <c r="I3" s="51"/>
      <c r="J3" s="51"/>
      <c r="K3" s="51"/>
      <c r="L3" s="51"/>
      <c r="M3" s="51"/>
      <c r="N3" s="51"/>
      <c r="O3" s="51"/>
      <c r="P3" s="51"/>
    </row>
    <row r="4" spans="1:16">
      <c r="A4" s="5" t="s">
        <v>6</v>
      </c>
      <c r="B4" s="7" t="s">
        <v>14</v>
      </c>
    </row>
    <row r="5" spans="1:16">
      <c r="A5" s="5" t="s">
        <v>6</v>
      </c>
      <c r="B5" s="128" t="s">
        <v>15</v>
      </c>
    </row>
    <row r="6" spans="1:16">
      <c r="A6" s="5" t="s">
        <v>6</v>
      </c>
      <c r="B6" s="8" t="s">
        <v>16</v>
      </c>
      <c r="K6" s="346" t="s">
        <v>613</v>
      </c>
      <c r="L6" s="346"/>
      <c r="M6" s="346"/>
      <c r="N6" s="346" t="s">
        <v>614</v>
      </c>
      <c r="O6" s="346"/>
      <c r="P6" s="346"/>
    </row>
    <row r="7" spans="1:16">
      <c r="B7" s="32" t="s">
        <v>17</v>
      </c>
      <c r="C7" s="32" t="s">
        <v>401</v>
      </c>
      <c r="D7" s="32" t="s">
        <v>517</v>
      </c>
      <c r="E7" s="32" t="s">
        <v>402</v>
      </c>
      <c r="F7" s="32" t="s">
        <v>403</v>
      </c>
      <c r="G7" s="32" t="s">
        <v>518</v>
      </c>
      <c r="H7" s="32" t="s">
        <v>120</v>
      </c>
      <c r="I7" s="32" t="s">
        <v>506</v>
      </c>
      <c r="J7" s="32" t="s">
        <v>507</v>
      </c>
      <c r="K7" s="31" t="s">
        <v>404</v>
      </c>
      <c r="L7" s="31" t="s">
        <v>405</v>
      </c>
      <c r="M7" s="31" t="s">
        <v>406</v>
      </c>
      <c r="N7" s="35" t="s">
        <v>610</v>
      </c>
      <c r="O7" s="35" t="s">
        <v>611</v>
      </c>
      <c r="P7" s="35" t="s">
        <v>612</v>
      </c>
    </row>
    <row r="8" spans="1:16">
      <c r="A8" s="20"/>
      <c r="B8" s="137" t="str">
        <f>MGBasic!B8</f>
        <v>INVIHR11AMB1SAEC01NK</v>
      </c>
      <c r="C8" s="130" t="s">
        <v>1364</v>
      </c>
      <c r="D8" s="130" t="s">
        <v>385</v>
      </c>
      <c r="E8" s="34" t="str">
        <f>IF(ISBLANK([1]PCRF!$E$7),"nokia.com",([1]PCRF!$E$7))</f>
        <v>epc.mnc001.mcc404.3gppnetwork.org</v>
      </c>
      <c r="F8" s="130" t="s">
        <v>399</v>
      </c>
      <c r="G8" s="130">
        <v>10</v>
      </c>
      <c r="H8" s="130" t="s">
        <v>112</v>
      </c>
      <c r="I8" s="34" t="str">
        <f>IF(ISBLANK([1]PCRF!$E$8),"99.99.99.1",([1]PCRF!$E$8))</f>
        <v>10.95.67.164</v>
      </c>
      <c r="J8" s="130">
        <v>3868</v>
      </c>
      <c r="K8" s="130" t="s">
        <v>36</v>
      </c>
      <c r="L8" s="130" t="s">
        <v>36</v>
      </c>
      <c r="M8" s="130" t="s">
        <v>36</v>
      </c>
      <c r="N8" s="130" t="s">
        <v>973</v>
      </c>
      <c r="O8" s="130">
        <v>1500</v>
      </c>
      <c r="P8" s="130">
        <v>3</v>
      </c>
    </row>
    <row r="9" spans="1:16">
      <c r="B9" s="147" t="str">
        <f>Node!B8</f>
        <v>INVIHR11AMB1SAEC01NK</v>
      </c>
      <c r="C9" s="130" t="s">
        <v>1365</v>
      </c>
      <c r="D9" s="130" t="s">
        <v>385</v>
      </c>
      <c r="E9" s="34" t="str">
        <f>IF(ISBLANK([1]PCRF!$E$12),"nokia.com",([1]PCRF!$E$12))</f>
        <v>nokia.com</v>
      </c>
      <c r="F9" s="130" t="s">
        <v>399</v>
      </c>
      <c r="G9" s="130">
        <v>10</v>
      </c>
      <c r="H9" s="130" t="s">
        <v>112</v>
      </c>
      <c r="I9" s="34" t="str">
        <f>IF(ISBLANK([1]PCRF!$E$13),"99.99.99.2",([1]PCRF!$E$13))</f>
        <v>99.99.99.2</v>
      </c>
      <c r="J9" s="130">
        <v>3868</v>
      </c>
      <c r="K9" s="130" t="s">
        <v>36</v>
      </c>
      <c r="L9" s="130" t="s">
        <v>36</v>
      </c>
      <c r="M9" s="130" t="s">
        <v>36</v>
      </c>
      <c r="N9" s="130" t="s">
        <v>973</v>
      </c>
      <c r="O9" s="130">
        <v>1500</v>
      </c>
      <c r="P9" s="130">
        <v>3</v>
      </c>
    </row>
    <row r="10" spans="1:16">
      <c r="B10" s="23" t="str">
        <f>Node!B8</f>
        <v>INVIHR11AMB1SAEC01NK</v>
      </c>
      <c r="C10" s="130" t="s">
        <v>111</v>
      </c>
      <c r="D10" s="130" t="s">
        <v>386</v>
      </c>
      <c r="E10" s="34" t="str">
        <f>IF(ISBLANK('[1]Online Charging'!$E$6),"nokia.com",('[1]Online Charging'!$E$6))</f>
        <v>siemens.com</v>
      </c>
      <c r="F10" s="130" t="s">
        <v>399</v>
      </c>
      <c r="G10" s="130">
        <v>11</v>
      </c>
      <c r="H10" s="130" t="s">
        <v>110</v>
      </c>
      <c r="I10" s="34" t="str">
        <f>IF(ISBLANK('[1]Online Charging'!$E$8),"99.99.99.3",('[1]Online Charging'!$E$8))</f>
        <v>172.19.210.120</v>
      </c>
      <c r="J10" s="130">
        <v>3868</v>
      </c>
      <c r="K10" s="130" t="s">
        <v>115</v>
      </c>
      <c r="L10" s="130">
        <v>10000</v>
      </c>
      <c r="M10" s="144" t="s">
        <v>113</v>
      </c>
      <c r="N10" s="130" t="s">
        <v>36</v>
      </c>
      <c r="O10" s="130" t="s">
        <v>36</v>
      </c>
      <c r="P10" s="130" t="s">
        <v>36</v>
      </c>
    </row>
    <row r="11" spans="1:16">
      <c r="B11" s="23" t="str">
        <f>Node!B8</f>
        <v>INVIHR11AMB1SAEC01NK</v>
      </c>
      <c r="C11" s="130" t="s">
        <v>109</v>
      </c>
      <c r="D11" s="130" t="s">
        <v>386</v>
      </c>
      <c r="E11" s="34" t="str">
        <f>IF(ISBLANK('[1]Online Charging'!$E$12),"nokia.com",('[1]Online Charging'!$E$12))</f>
        <v>drsiemens.com</v>
      </c>
      <c r="F11" s="130" t="s">
        <v>399</v>
      </c>
      <c r="G11" s="130">
        <v>11</v>
      </c>
      <c r="H11" s="130" t="s">
        <v>110</v>
      </c>
      <c r="I11" s="34" t="str">
        <f>IF(ISBLANK('[1]Online Charging'!$E$14),"nokia.com",('[1]Online Charging'!$E$14))</f>
        <v>10.245.9.120</v>
      </c>
      <c r="J11" s="130">
        <v>3868</v>
      </c>
      <c r="K11" s="130" t="s">
        <v>114</v>
      </c>
      <c r="L11" s="130">
        <v>10000</v>
      </c>
      <c r="M11" s="144" t="s">
        <v>113</v>
      </c>
      <c r="N11" s="130" t="s">
        <v>36</v>
      </c>
      <c r="O11" s="130" t="s">
        <v>36</v>
      </c>
      <c r="P11" s="130" t="s">
        <v>36</v>
      </c>
    </row>
  </sheetData>
  <mergeCells count="3">
    <mergeCell ref="B1:B3"/>
    <mergeCell ref="N6:P6"/>
    <mergeCell ref="K6:M6"/>
  </mergeCells>
  <conditionalFormatting sqref="E8">
    <cfRule type="cellIs" dxfId="31" priority="11" operator="equal">
      <formula>"nokia.com"</formula>
    </cfRule>
    <cfRule type="cellIs" dxfId="30" priority="14" operator="between">
      <formula>"99.99.99.0"</formula>
      <formula>"99.99.99.255"</formula>
    </cfRule>
  </conditionalFormatting>
  <conditionalFormatting sqref="I8">
    <cfRule type="cellIs" dxfId="29" priority="12" operator="equal">
      <formula>"nokia.com"</formula>
    </cfRule>
    <cfRule type="cellIs" dxfId="28" priority="13" operator="between">
      <formula>"99.99.99.0"</formula>
      <formula>"99.99.99.255"</formula>
    </cfRule>
  </conditionalFormatting>
  <conditionalFormatting sqref="E9">
    <cfRule type="cellIs" dxfId="27" priority="9" operator="equal">
      <formula>"nokia.com"</formula>
    </cfRule>
    <cfRule type="cellIs" dxfId="26" priority="10" operator="between">
      <formula>"99.99.99.0"</formula>
      <formula>"99.99.99.255"</formula>
    </cfRule>
  </conditionalFormatting>
  <conditionalFormatting sqref="E10">
    <cfRule type="cellIs" dxfId="25" priority="7" operator="equal">
      <formula>"nokia.com"</formula>
    </cfRule>
    <cfRule type="cellIs" dxfId="24" priority="8" operator="between">
      <formula>"99.99.99.0"</formula>
      <formula>"99.99.99.255"</formula>
    </cfRule>
  </conditionalFormatting>
  <conditionalFormatting sqref="I9:I11">
    <cfRule type="cellIs" dxfId="23" priority="3" operator="equal">
      <formula>"nokia.com"</formula>
    </cfRule>
    <cfRule type="cellIs" dxfId="22" priority="4" operator="between">
      <formula>"99.99.99.0"</formula>
      <formula>"99.99.99.255"</formula>
    </cfRule>
  </conditionalFormatting>
  <conditionalFormatting sqref="E11">
    <cfRule type="cellIs" dxfId="21" priority="1" operator="equal">
      <formula>"nokia.com"</formula>
    </cfRule>
    <cfRule type="cellIs" dxfId="20" priority="2" operator="between">
      <formula>"99.99.99.0"</formula>
      <formula>"99.99.99.255"</formula>
    </cfRule>
  </conditionalFormatting>
  <dataValidations count="1">
    <dataValidation type="list" allowBlank="1" showInputMessage="1" showErrorMessage="1" sqref="D8:D93" xr:uid="{8C0DECEB-0790-4E77-B0DE-385E5802AE58}">
      <formula1>$D$1:$D$3</formula1>
    </dataValidation>
  </dataValidations>
  <hyperlinks>
    <hyperlink ref="M10" r:id="rId1" xr:uid="{0B588949-1977-4AFE-8F74-467E52AB92C0}"/>
    <hyperlink ref="M11" r:id="rId2" xr:uid="{7B004966-ADD3-42EA-8567-BF25104EBCFA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AddNew">
                <anchor moveWithCells="1">
                  <from>
                    <xdr:col>4</xdr:col>
                    <xdr:colOff>784860</xdr:colOff>
                    <xdr:row>3</xdr:row>
                    <xdr:rowOff>137160</xdr:rowOff>
                  </from>
                  <to>
                    <xdr:col>4</xdr:col>
                    <xdr:colOff>2202180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70F3-CC1F-4E06-909C-53FEBEC1FF83}">
  <sheetPr codeName="Sheet9"/>
  <dimension ref="A1:K17"/>
  <sheetViews>
    <sheetView workbookViewId="0">
      <selection activeCell="J2" sqref="J2"/>
    </sheetView>
  </sheetViews>
  <sheetFormatPr defaultRowHeight="14.4"/>
  <cols>
    <col min="1" max="1" width="2.6640625" bestFit="1" customWidth="1"/>
    <col min="2" max="2" width="18.109375" bestFit="1" customWidth="1"/>
    <col min="3" max="3" width="16.44140625" customWidth="1"/>
    <col min="4" max="4" width="15.6640625" bestFit="1" customWidth="1"/>
    <col min="5" max="5" width="8.6640625" bestFit="1" customWidth="1"/>
    <col min="6" max="6" width="17.6640625" customWidth="1"/>
    <col min="7" max="7" width="18" customWidth="1"/>
    <col min="8" max="8" width="13.109375" customWidth="1"/>
    <col min="9" max="9" width="22.33203125" customWidth="1"/>
    <col min="10" max="10" width="18.6640625" customWidth="1"/>
    <col min="11" max="11" width="19.33203125" customWidth="1"/>
    <col min="12" max="12" width="5.6640625" bestFit="1" customWidth="1"/>
    <col min="13" max="13" width="8.33203125" bestFit="1" customWidth="1"/>
    <col min="15" max="15" width="8.33203125" bestFit="1" customWidth="1"/>
    <col min="16" max="17" width="8.44140625" bestFit="1" customWidth="1"/>
    <col min="19" max="19" width="8.33203125" bestFit="1" customWidth="1"/>
    <col min="20" max="21" width="8.44140625" bestFit="1" customWidth="1"/>
  </cols>
  <sheetData>
    <row r="1" spans="1:11">
      <c r="A1" s="58" t="s">
        <v>6</v>
      </c>
      <c r="B1" s="344" t="s">
        <v>378</v>
      </c>
      <c r="C1" s="263" t="s">
        <v>536</v>
      </c>
      <c r="D1" s="263" t="s">
        <v>536</v>
      </c>
      <c r="E1" s="263" t="s">
        <v>536</v>
      </c>
      <c r="F1" s="263" t="s">
        <v>536</v>
      </c>
      <c r="G1" s="52" t="s">
        <v>83</v>
      </c>
      <c r="H1" s="263" t="s">
        <v>536</v>
      </c>
      <c r="I1" s="263" t="s">
        <v>536</v>
      </c>
      <c r="J1" s="263" t="s">
        <v>536</v>
      </c>
      <c r="K1" s="52" t="s">
        <v>84</v>
      </c>
    </row>
    <row r="2" spans="1:11">
      <c r="A2" s="58" t="s">
        <v>6</v>
      </c>
      <c r="B2" s="344"/>
      <c r="C2" s="263"/>
      <c r="D2" s="51"/>
      <c r="E2" s="51"/>
      <c r="F2" s="263"/>
      <c r="G2" s="51" t="s">
        <v>84</v>
      </c>
      <c r="H2" s="277" t="s">
        <v>1367</v>
      </c>
      <c r="I2" s="263" t="s">
        <v>36</v>
      </c>
      <c r="J2" s="51" t="s">
        <v>1334</v>
      </c>
      <c r="K2" s="51" t="s">
        <v>36</v>
      </c>
    </row>
    <row r="3" spans="1:11">
      <c r="A3" s="58" t="s">
        <v>6</v>
      </c>
      <c r="B3" s="344"/>
      <c r="C3" s="263"/>
      <c r="D3" s="51"/>
      <c r="E3" s="56"/>
      <c r="F3" s="263"/>
      <c r="G3" s="51"/>
      <c r="H3" s="51"/>
      <c r="I3" s="51"/>
      <c r="J3" s="51" t="s">
        <v>36</v>
      </c>
      <c r="K3" s="51"/>
    </row>
    <row r="4" spans="1:11">
      <c r="A4" s="5" t="s">
        <v>6</v>
      </c>
      <c r="B4" s="7" t="s">
        <v>14</v>
      </c>
    </row>
    <row r="5" spans="1:11">
      <c r="A5" s="5" t="s">
        <v>6</v>
      </c>
      <c r="B5" s="128" t="s">
        <v>15</v>
      </c>
    </row>
    <row r="6" spans="1:11">
      <c r="A6" s="5" t="s">
        <v>6</v>
      </c>
      <c r="B6" s="8" t="s">
        <v>16</v>
      </c>
      <c r="H6" s="346" t="s">
        <v>595</v>
      </c>
      <c r="I6" s="346"/>
      <c r="J6" s="346"/>
    </row>
    <row r="7" spans="1:11">
      <c r="B7" s="32" t="s">
        <v>17</v>
      </c>
      <c r="C7" s="32" t="s">
        <v>132</v>
      </c>
      <c r="D7" s="32" t="s">
        <v>416</v>
      </c>
      <c r="E7" s="32" t="s">
        <v>119</v>
      </c>
      <c r="F7" s="32" t="s">
        <v>118</v>
      </c>
      <c r="G7" s="127" t="s">
        <v>519</v>
      </c>
      <c r="H7" s="32" t="s">
        <v>508</v>
      </c>
      <c r="I7" s="32" t="s">
        <v>520</v>
      </c>
      <c r="J7" s="32" t="s">
        <v>521</v>
      </c>
      <c r="K7" s="41" t="s">
        <v>578</v>
      </c>
    </row>
    <row r="8" spans="1:11">
      <c r="B8" s="39" t="str">
        <f>Node!B8</f>
        <v>INVIHR11AMB1SAEC01NK</v>
      </c>
      <c r="C8" s="347" t="s">
        <v>108</v>
      </c>
      <c r="D8" s="347" t="s">
        <v>107</v>
      </c>
      <c r="E8" s="347">
        <v>10</v>
      </c>
      <c r="F8" s="347" t="s">
        <v>177</v>
      </c>
      <c r="G8" s="43" t="s">
        <v>83</v>
      </c>
      <c r="H8" s="265" t="s">
        <v>1350</v>
      </c>
      <c r="I8" s="266">
        <v>2</v>
      </c>
      <c r="J8" s="276" t="s">
        <v>1334</v>
      </c>
      <c r="K8" s="10" t="s">
        <v>84</v>
      </c>
    </row>
    <row r="9" spans="1:11">
      <c r="B9" s="39" t="str">
        <f>B8</f>
        <v>INVIHR11AMB1SAEC01NK</v>
      </c>
      <c r="C9" s="347"/>
      <c r="D9" s="347"/>
      <c r="E9" s="347"/>
      <c r="F9" s="347"/>
      <c r="G9" s="43" t="s">
        <v>84</v>
      </c>
      <c r="H9" s="265" t="s">
        <v>1351</v>
      </c>
      <c r="I9" s="267" t="s">
        <v>36</v>
      </c>
      <c r="J9" s="276" t="s">
        <v>1334</v>
      </c>
      <c r="K9" s="9" t="s">
        <v>36</v>
      </c>
    </row>
    <row r="16" spans="1:11">
      <c r="G16" s="20"/>
      <c r="H16" s="20"/>
      <c r="I16" s="20"/>
    </row>
    <row r="17" spans="7:9">
      <c r="G17" s="20"/>
      <c r="H17" s="20"/>
      <c r="I17" s="20"/>
    </row>
  </sheetData>
  <mergeCells count="6">
    <mergeCell ref="B1:B3"/>
    <mergeCell ref="H6:J6"/>
    <mergeCell ref="C8:C9"/>
    <mergeCell ref="D8:D9"/>
    <mergeCell ref="E8:E9"/>
    <mergeCell ref="F8:F9"/>
  </mergeCells>
  <dataValidations count="1">
    <dataValidation type="list" allowBlank="1" showInputMessage="1" showErrorMessage="1" sqref="G8:G155" xr:uid="{EF691B23-02C8-491A-84C7-A6F2D7DF0CAD}">
      <formula1>$G$1:$G$2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New">
                <anchor moveWithCells="1">
                  <from>
                    <xdr:col>3</xdr:col>
                    <xdr:colOff>594360</xdr:colOff>
                    <xdr:row>3</xdr:row>
                    <xdr:rowOff>175260</xdr:rowOff>
                  </from>
                  <to>
                    <xdr:col>4</xdr:col>
                    <xdr:colOff>571500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2C97-B81D-4195-A1FE-1E75C312DF69}">
  <sheetPr codeName="Sheet10"/>
  <dimension ref="A1:O18"/>
  <sheetViews>
    <sheetView zoomScale="80" zoomScaleNormal="80" workbookViewId="0">
      <selection activeCell="I20" sqref="I20"/>
    </sheetView>
  </sheetViews>
  <sheetFormatPr defaultColWidth="2.88671875" defaultRowHeight="14.4"/>
  <cols>
    <col min="1" max="1" width="3" customWidth="1"/>
    <col min="2" max="2" width="23" bestFit="1" customWidth="1"/>
    <col min="3" max="3" width="13.33203125" bestFit="1" customWidth="1"/>
    <col min="4" max="4" width="37.88671875" bestFit="1" customWidth="1"/>
    <col min="5" max="5" width="7.6640625" bestFit="1" customWidth="1"/>
    <col min="6" max="6" width="7.33203125" bestFit="1" customWidth="1"/>
    <col min="7" max="7" width="17.6640625" bestFit="1" customWidth="1"/>
    <col min="8" max="8" width="18.21875" bestFit="1" customWidth="1"/>
    <col min="9" max="9" width="9.5546875" bestFit="1" customWidth="1"/>
    <col min="10" max="10" width="12.109375" bestFit="1" customWidth="1"/>
    <col min="11" max="11" width="7.109375" bestFit="1" customWidth="1"/>
    <col min="12" max="12" width="11.5546875" bestFit="1" customWidth="1"/>
    <col min="13" max="14" width="18.88671875" bestFit="1" customWidth="1"/>
    <col min="15" max="15" width="14.109375" bestFit="1" customWidth="1"/>
  </cols>
  <sheetData>
    <row r="1" spans="1:15">
      <c r="A1" s="58" t="s">
        <v>6</v>
      </c>
      <c r="B1" s="348" t="s">
        <v>378</v>
      </c>
      <c r="C1" s="263" t="s">
        <v>388</v>
      </c>
      <c r="D1" s="263" t="s">
        <v>536</v>
      </c>
      <c r="E1" s="263" t="s">
        <v>536</v>
      </c>
      <c r="F1" s="263" t="s">
        <v>84</v>
      </c>
      <c r="G1" s="52" t="s">
        <v>84</v>
      </c>
      <c r="H1" s="263" t="s">
        <v>83</v>
      </c>
      <c r="I1" s="263" t="s">
        <v>536</v>
      </c>
      <c r="J1" s="263" t="s">
        <v>536</v>
      </c>
      <c r="K1" s="9" t="s">
        <v>84</v>
      </c>
      <c r="L1" s="263" t="s">
        <v>536</v>
      </c>
      <c r="M1" s="263" t="s">
        <v>536</v>
      </c>
      <c r="N1" s="263" t="s">
        <v>536</v>
      </c>
      <c r="O1" s="52" t="s">
        <v>84</v>
      </c>
    </row>
    <row r="2" spans="1:15">
      <c r="A2" s="58" t="s">
        <v>6</v>
      </c>
      <c r="B2" s="349"/>
      <c r="C2" s="263" t="s">
        <v>393</v>
      </c>
      <c r="D2" s="51"/>
      <c r="E2" s="51"/>
      <c r="F2" s="263"/>
      <c r="G2" s="51"/>
      <c r="H2" s="263" t="s">
        <v>84</v>
      </c>
      <c r="I2" s="9"/>
      <c r="J2" s="9"/>
      <c r="K2" s="9" t="s">
        <v>36</v>
      </c>
      <c r="L2" s="263" t="s">
        <v>36</v>
      </c>
      <c r="M2" s="263" t="s">
        <v>36</v>
      </c>
      <c r="N2" s="263" t="s">
        <v>36</v>
      </c>
      <c r="O2" s="51" t="s">
        <v>36</v>
      </c>
    </row>
    <row r="3" spans="1:15">
      <c r="A3" s="58" t="s">
        <v>6</v>
      </c>
      <c r="B3" s="350"/>
      <c r="C3" s="263"/>
      <c r="D3" s="51"/>
      <c r="E3" s="56"/>
      <c r="F3" s="263"/>
      <c r="G3" s="51"/>
      <c r="H3" s="51"/>
      <c r="I3" s="9"/>
      <c r="J3" s="9"/>
      <c r="K3" s="9"/>
      <c r="L3" s="9"/>
      <c r="M3" s="9"/>
      <c r="N3" s="9"/>
      <c r="O3" s="51"/>
    </row>
    <row r="4" spans="1:15">
      <c r="A4" s="5" t="s">
        <v>6</v>
      </c>
      <c r="B4" s="7" t="s">
        <v>14</v>
      </c>
    </row>
    <row r="5" spans="1:15">
      <c r="A5" s="5" t="s">
        <v>6</v>
      </c>
      <c r="B5" s="128" t="s">
        <v>15</v>
      </c>
    </row>
    <row r="6" spans="1:15">
      <c r="A6" s="5" t="s">
        <v>6</v>
      </c>
      <c r="B6" s="8" t="s">
        <v>16</v>
      </c>
    </row>
    <row r="7" spans="1:15">
      <c r="B7" s="31" t="s">
        <v>17</v>
      </c>
      <c r="C7" s="31" t="s">
        <v>522</v>
      </c>
      <c r="D7" s="31" t="s">
        <v>523</v>
      </c>
      <c r="E7" s="31" t="s">
        <v>387</v>
      </c>
      <c r="F7" s="31" t="s">
        <v>407</v>
      </c>
      <c r="G7" s="31" t="s">
        <v>408</v>
      </c>
      <c r="H7" s="31" t="s">
        <v>409</v>
      </c>
      <c r="I7" s="31" t="s">
        <v>410</v>
      </c>
      <c r="J7" s="31" t="s">
        <v>411</v>
      </c>
      <c r="K7" s="31" t="s">
        <v>412</v>
      </c>
      <c r="L7" s="31" t="s">
        <v>413</v>
      </c>
      <c r="M7" s="31" t="s">
        <v>414</v>
      </c>
      <c r="N7" s="31" t="s">
        <v>415</v>
      </c>
      <c r="O7" s="31" t="s">
        <v>579</v>
      </c>
    </row>
    <row r="8" spans="1:15">
      <c r="B8" s="291" t="str">
        <f>Node!B8</f>
        <v>INVIHR11AMB1SAEC01NK</v>
      </c>
      <c r="C8" s="10" t="s">
        <v>388</v>
      </c>
      <c r="D8" s="260" t="s">
        <v>1414</v>
      </c>
      <c r="E8" s="10">
        <v>0</v>
      </c>
      <c r="F8" s="10" t="s">
        <v>84</v>
      </c>
      <c r="G8" s="10" t="s">
        <v>84</v>
      </c>
      <c r="H8" s="261" t="s">
        <v>83</v>
      </c>
      <c r="I8" s="262">
        <v>30</v>
      </c>
      <c r="J8" s="262">
        <v>51200</v>
      </c>
      <c r="K8" s="10" t="s">
        <v>36</v>
      </c>
      <c r="L8" s="10" t="s">
        <v>36</v>
      </c>
      <c r="M8" s="10" t="s">
        <v>36</v>
      </c>
      <c r="N8" s="10" t="s">
        <v>36</v>
      </c>
      <c r="O8" s="10" t="s">
        <v>84</v>
      </c>
    </row>
    <row r="9" spans="1:15" ht="28.8">
      <c r="B9" s="21" t="str">
        <f>Node!B8</f>
        <v>INVIHR11AMB1SAEC01NK</v>
      </c>
      <c r="C9" s="10" t="s">
        <v>388</v>
      </c>
      <c r="D9" s="260" t="s">
        <v>391</v>
      </c>
      <c r="E9" s="10">
        <v>1</v>
      </c>
      <c r="F9" s="10" t="s">
        <v>84</v>
      </c>
      <c r="G9" s="10" t="s">
        <v>84</v>
      </c>
      <c r="H9" s="261" t="s">
        <v>83</v>
      </c>
      <c r="I9" s="262">
        <v>30</v>
      </c>
      <c r="J9" s="262">
        <v>51200</v>
      </c>
      <c r="K9" s="10" t="s">
        <v>36</v>
      </c>
      <c r="L9" s="10" t="s">
        <v>36</v>
      </c>
      <c r="M9" s="10" t="s">
        <v>36</v>
      </c>
      <c r="N9" s="10" t="s">
        <v>36</v>
      </c>
      <c r="O9" s="10" t="s">
        <v>36</v>
      </c>
    </row>
    <row r="10" spans="1:15" ht="28.8">
      <c r="B10" s="21" t="str">
        <f>Node!B8</f>
        <v>INVIHR11AMB1SAEC01NK</v>
      </c>
      <c r="C10" s="10" t="s">
        <v>388</v>
      </c>
      <c r="D10" s="260" t="s">
        <v>392</v>
      </c>
      <c r="E10" s="10">
        <v>2</v>
      </c>
      <c r="F10" s="10" t="s">
        <v>84</v>
      </c>
      <c r="G10" s="10" t="s">
        <v>84</v>
      </c>
      <c r="H10" s="261" t="s">
        <v>83</v>
      </c>
      <c r="I10" s="262">
        <v>30</v>
      </c>
      <c r="J10" s="262">
        <v>51200</v>
      </c>
      <c r="K10" s="10" t="s">
        <v>36</v>
      </c>
      <c r="L10" s="10" t="s">
        <v>36</v>
      </c>
      <c r="M10" s="10" t="s">
        <v>36</v>
      </c>
      <c r="N10" s="10" t="s">
        <v>36</v>
      </c>
      <c r="O10" s="10" t="s">
        <v>36</v>
      </c>
    </row>
    <row r="11" spans="1:15" ht="28.8">
      <c r="B11" s="21" t="str">
        <f>Node!B8</f>
        <v>INVIHR11AMB1SAEC01NK</v>
      </c>
      <c r="C11" s="10" t="s">
        <v>388</v>
      </c>
      <c r="D11" s="260" t="s">
        <v>389</v>
      </c>
      <c r="E11" s="10">
        <v>4</v>
      </c>
      <c r="F11" s="10" t="s">
        <v>84</v>
      </c>
      <c r="G11" s="10" t="s">
        <v>84</v>
      </c>
      <c r="H11" s="261" t="s">
        <v>83</v>
      </c>
      <c r="I11" s="262">
        <v>30</v>
      </c>
      <c r="J11" s="262">
        <v>51200</v>
      </c>
      <c r="K11" s="10" t="s">
        <v>36</v>
      </c>
      <c r="L11" s="10" t="s">
        <v>36</v>
      </c>
      <c r="M11" s="10" t="s">
        <v>36</v>
      </c>
      <c r="N11" s="10" t="s">
        <v>36</v>
      </c>
      <c r="O11" s="10" t="s">
        <v>36</v>
      </c>
    </row>
    <row r="12" spans="1:15" ht="28.8">
      <c r="B12" s="21" t="str">
        <f>Node!B8</f>
        <v>INVIHR11AMB1SAEC01NK</v>
      </c>
      <c r="C12" s="10" t="s">
        <v>388</v>
      </c>
      <c r="D12" s="260" t="s">
        <v>390</v>
      </c>
      <c r="E12" s="10">
        <v>8</v>
      </c>
      <c r="F12" s="10" t="s">
        <v>84</v>
      </c>
      <c r="G12" s="10" t="s">
        <v>84</v>
      </c>
      <c r="H12" s="261" t="s">
        <v>83</v>
      </c>
      <c r="I12" s="262">
        <v>30</v>
      </c>
      <c r="J12" s="262">
        <v>51200</v>
      </c>
      <c r="K12" s="10" t="s">
        <v>36</v>
      </c>
      <c r="L12" s="10" t="s">
        <v>36</v>
      </c>
      <c r="M12" s="10" t="s">
        <v>36</v>
      </c>
      <c r="N12" s="10" t="s">
        <v>36</v>
      </c>
      <c r="O12" s="10" t="s">
        <v>36</v>
      </c>
    </row>
    <row r="13" spans="1:15">
      <c r="B13" s="21" t="str">
        <f>Node!B8</f>
        <v>INVIHR11AMB1SAEC01NK</v>
      </c>
      <c r="C13" s="10" t="s">
        <v>393</v>
      </c>
      <c r="D13" s="260" t="s">
        <v>394</v>
      </c>
      <c r="E13" s="10">
        <v>0</v>
      </c>
      <c r="F13" s="10" t="s">
        <v>84</v>
      </c>
      <c r="G13" s="10" t="s">
        <v>84</v>
      </c>
      <c r="H13" s="269" t="s">
        <v>84</v>
      </c>
      <c r="I13" s="262">
        <v>10</v>
      </c>
      <c r="J13" s="262">
        <v>51200</v>
      </c>
      <c r="K13" s="10" t="s">
        <v>84</v>
      </c>
      <c r="L13" s="10" t="s">
        <v>115</v>
      </c>
      <c r="M13" s="10" t="s">
        <v>111</v>
      </c>
      <c r="N13" s="10" t="s">
        <v>36</v>
      </c>
      <c r="O13" s="10" t="s">
        <v>36</v>
      </c>
    </row>
    <row r="14" spans="1:15">
      <c r="B14" s="21" t="str">
        <f>Node!B8</f>
        <v>INVIHR11AMB1SAEC01NK</v>
      </c>
      <c r="C14" s="10" t="s">
        <v>393</v>
      </c>
      <c r="D14" s="260" t="s">
        <v>395</v>
      </c>
      <c r="E14" s="10">
        <v>1</v>
      </c>
      <c r="F14" s="10" t="s">
        <v>84</v>
      </c>
      <c r="G14" s="10" t="s">
        <v>84</v>
      </c>
      <c r="H14" s="10" t="s">
        <v>84</v>
      </c>
      <c r="I14" s="262">
        <v>30</v>
      </c>
      <c r="J14" s="262">
        <v>51200</v>
      </c>
      <c r="K14" s="10" t="s">
        <v>84</v>
      </c>
      <c r="L14" s="10" t="s">
        <v>115</v>
      </c>
      <c r="M14" s="10" t="s">
        <v>111</v>
      </c>
      <c r="N14" s="10" t="s">
        <v>109</v>
      </c>
      <c r="O14" s="10" t="s">
        <v>36</v>
      </c>
    </row>
    <row r="15" spans="1:15">
      <c r="B15" s="21" t="str">
        <f>Node!B8</f>
        <v>INVIHR11AMB1SAEC01NK</v>
      </c>
      <c r="C15" s="10" t="s">
        <v>393</v>
      </c>
      <c r="D15" s="260" t="s">
        <v>396</v>
      </c>
      <c r="E15" s="10">
        <v>2</v>
      </c>
      <c r="F15" s="10" t="s">
        <v>84</v>
      </c>
      <c r="G15" s="10" t="s">
        <v>84</v>
      </c>
      <c r="H15" s="10" t="s">
        <v>84</v>
      </c>
      <c r="I15" s="262">
        <v>30</v>
      </c>
      <c r="J15" s="262">
        <v>51200</v>
      </c>
      <c r="K15" s="10" t="s">
        <v>84</v>
      </c>
      <c r="L15" s="10" t="s">
        <v>115</v>
      </c>
      <c r="M15" s="10" t="s">
        <v>111</v>
      </c>
      <c r="N15" s="10" t="s">
        <v>109</v>
      </c>
      <c r="O15" s="10" t="s">
        <v>36</v>
      </c>
    </row>
    <row r="16" spans="1:15">
      <c r="B16" s="21" t="str">
        <f>Node!B8</f>
        <v>INVIHR11AMB1SAEC01NK</v>
      </c>
      <c r="C16" s="10" t="s">
        <v>393</v>
      </c>
      <c r="D16" s="260" t="s">
        <v>397</v>
      </c>
      <c r="E16" s="10">
        <v>4</v>
      </c>
      <c r="F16" s="10" t="s">
        <v>84</v>
      </c>
      <c r="G16" s="10" t="s">
        <v>84</v>
      </c>
      <c r="H16" s="10" t="s">
        <v>84</v>
      </c>
      <c r="I16" s="262">
        <v>30</v>
      </c>
      <c r="J16" s="262">
        <v>51200</v>
      </c>
      <c r="K16" s="10" t="s">
        <v>84</v>
      </c>
      <c r="L16" s="10" t="s">
        <v>115</v>
      </c>
      <c r="M16" s="10" t="s">
        <v>111</v>
      </c>
      <c r="N16" s="10" t="s">
        <v>109</v>
      </c>
      <c r="O16" s="10" t="s">
        <v>36</v>
      </c>
    </row>
    <row r="17" spans="2:15" ht="28.8">
      <c r="B17" s="21" t="str">
        <f>Node!B8</f>
        <v>INVIHR11AMB1SAEC01NK</v>
      </c>
      <c r="C17" s="10" t="s">
        <v>393</v>
      </c>
      <c r="D17" s="260" t="s">
        <v>1370</v>
      </c>
      <c r="E17" s="10">
        <v>5</v>
      </c>
      <c r="F17" s="10" t="s">
        <v>84</v>
      </c>
      <c r="G17" s="10" t="s">
        <v>84</v>
      </c>
      <c r="H17" s="10" t="s">
        <v>84</v>
      </c>
      <c r="I17" s="262">
        <v>30</v>
      </c>
      <c r="J17" s="262">
        <v>51200</v>
      </c>
      <c r="K17" s="10" t="s">
        <v>36</v>
      </c>
      <c r="L17" s="10" t="s">
        <v>36</v>
      </c>
      <c r="M17" s="10" t="s">
        <v>36</v>
      </c>
      <c r="N17" s="10" t="s">
        <v>36</v>
      </c>
      <c r="O17" s="10" t="s">
        <v>36</v>
      </c>
    </row>
    <row r="18" spans="2:15">
      <c r="B18" s="21" t="str">
        <f>Node!B8</f>
        <v>INVIHR11AMB1SAEC01NK</v>
      </c>
      <c r="C18" s="10" t="s">
        <v>393</v>
      </c>
      <c r="D18" s="260" t="s">
        <v>398</v>
      </c>
      <c r="E18" s="10">
        <v>8</v>
      </c>
      <c r="F18" s="10" t="s">
        <v>84</v>
      </c>
      <c r="G18" s="10" t="s">
        <v>84</v>
      </c>
      <c r="H18" s="10" t="s">
        <v>84</v>
      </c>
      <c r="I18" s="262">
        <v>30</v>
      </c>
      <c r="J18" s="262">
        <v>51200</v>
      </c>
      <c r="K18" s="10" t="s">
        <v>84</v>
      </c>
      <c r="L18" s="10" t="s">
        <v>115</v>
      </c>
      <c r="M18" s="10" t="s">
        <v>111</v>
      </c>
      <c r="N18" s="10" t="s">
        <v>109</v>
      </c>
      <c r="O18" s="10" t="s">
        <v>36</v>
      </c>
    </row>
  </sheetData>
  <mergeCells count="1">
    <mergeCell ref="B1:B3"/>
  </mergeCells>
  <dataValidations count="3">
    <dataValidation type="list" allowBlank="1" showInputMessage="1" showErrorMessage="1" sqref="C8:C82" xr:uid="{7C5A3812-5772-4A39-BC57-7F6D10604CD0}">
      <formula1>$C$1:$C$2</formula1>
    </dataValidation>
    <dataValidation type="list" allowBlank="1" showInputMessage="1" showErrorMessage="1" sqref="H8:H134" xr:uid="{DEBF859A-53F4-4CFB-BA15-CC57485FEDE8}">
      <formula1>$H$1:$H$3</formula1>
    </dataValidation>
    <dataValidation type="list" allowBlank="1" showInputMessage="1" showErrorMessage="1" sqref="K8:K93 L17" xr:uid="{930FE184-FFD8-47DC-9F1F-E8FEDB6CCFB3}">
      <formula1>$K$1:$K$3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New">
                <anchor moveWithCells="1">
                  <from>
                    <xdr:col>3</xdr:col>
                    <xdr:colOff>1470660</xdr:colOff>
                    <xdr:row>3</xdr:row>
                    <xdr:rowOff>99060</xdr:rowOff>
                  </from>
                  <to>
                    <xdr:col>5</xdr:col>
                    <xdr:colOff>45720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9EA3-C04A-4126-BAE9-69E8BA7C29D1}">
  <sheetPr codeName="Sheet11"/>
  <dimension ref="A1:N11"/>
  <sheetViews>
    <sheetView zoomScale="90" zoomScaleNormal="90" workbookViewId="0">
      <selection activeCell="J18" sqref="J18"/>
    </sheetView>
  </sheetViews>
  <sheetFormatPr defaultRowHeight="14.4"/>
  <cols>
    <col min="1" max="1" width="3.109375" bestFit="1" customWidth="1"/>
    <col min="2" max="2" width="18.6640625" bestFit="1" customWidth="1"/>
    <col min="3" max="3" width="20.5546875" bestFit="1" customWidth="1"/>
    <col min="4" max="4" width="8.33203125" bestFit="1" customWidth="1"/>
    <col min="5" max="5" width="17.33203125" bestFit="1" customWidth="1"/>
    <col min="6" max="6" width="21.33203125" bestFit="1" customWidth="1"/>
    <col min="7" max="7" width="11.109375" bestFit="1" customWidth="1"/>
    <col min="8" max="8" width="14.88671875" bestFit="1" customWidth="1"/>
    <col min="9" max="9" width="14.6640625" customWidth="1"/>
    <col min="10" max="10" width="12" bestFit="1" customWidth="1"/>
    <col min="11" max="11" width="12.33203125" bestFit="1" customWidth="1"/>
    <col min="12" max="12" width="13.33203125" bestFit="1" customWidth="1"/>
    <col min="13" max="13" width="10.109375" bestFit="1" customWidth="1"/>
    <col min="14" max="14" width="9.88671875" bestFit="1" customWidth="1"/>
    <col min="15" max="15" width="8.33203125" bestFit="1" customWidth="1"/>
    <col min="16" max="17" width="8.44140625" bestFit="1" customWidth="1"/>
  </cols>
  <sheetData>
    <row r="1" spans="1:14">
      <c r="A1" s="58" t="s">
        <v>6</v>
      </c>
      <c r="B1" s="344" t="s">
        <v>378</v>
      </c>
      <c r="C1" s="263" t="s">
        <v>536</v>
      </c>
      <c r="D1" s="263" t="s">
        <v>536</v>
      </c>
      <c r="E1" s="263" t="s">
        <v>536</v>
      </c>
      <c r="F1" s="263" t="s">
        <v>536</v>
      </c>
      <c r="G1" s="263" t="s">
        <v>536</v>
      </c>
      <c r="H1" s="51" t="s">
        <v>456</v>
      </c>
      <c r="I1" s="263" t="s">
        <v>83</v>
      </c>
      <c r="J1" s="263" t="s">
        <v>536</v>
      </c>
      <c r="K1" s="263" t="s">
        <v>83</v>
      </c>
      <c r="L1" s="263" t="s">
        <v>536</v>
      </c>
      <c r="M1" s="52" t="s">
        <v>83</v>
      </c>
      <c r="N1" s="263" t="s">
        <v>536</v>
      </c>
    </row>
    <row r="2" spans="1:14">
      <c r="A2" s="58" t="s">
        <v>6</v>
      </c>
      <c r="B2" s="344"/>
      <c r="C2" s="263"/>
      <c r="D2" s="51"/>
      <c r="E2" s="51"/>
      <c r="F2" s="263"/>
      <c r="G2" s="51"/>
      <c r="H2" s="51" t="s">
        <v>492</v>
      </c>
      <c r="I2" s="263" t="s">
        <v>84</v>
      </c>
      <c r="J2" s="277" t="s">
        <v>1367</v>
      </c>
      <c r="K2" s="263" t="s">
        <v>84</v>
      </c>
      <c r="L2" s="263">
        <v>3386</v>
      </c>
      <c r="M2" s="51" t="s">
        <v>84</v>
      </c>
      <c r="N2" s="51"/>
    </row>
    <row r="3" spans="1:14">
      <c r="A3" s="58" t="s">
        <v>6</v>
      </c>
      <c r="B3" s="344"/>
      <c r="C3" s="263"/>
      <c r="D3" s="51"/>
      <c r="E3" s="56"/>
      <c r="F3" s="263"/>
      <c r="G3" s="51"/>
      <c r="H3" s="56"/>
      <c r="I3" s="263" t="s">
        <v>36</v>
      </c>
      <c r="J3" s="51"/>
      <c r="K3" s="263"/>
      <c r="L3" s="263"/>
      <c r="M3" s="51"/>
      <c r="N3" s="56"/>
    </row>
    <row r="4" spans="1:14">
      <c r="A4" s="5" t="s">
        <v>6</v>
      </c>
      <c r="B4" s="7" t="s">
        <v>14</v>
      </c>
    </row>
    <row r="5" spans="1:14">
      <c r="A5" s="5" t="s">
        <v>6</v>
      </c>
      <c r="B5" s="128" t="s">
        <v>15</v>
      </c>
    </row>
    <row r="6" spans="1:14">
      <c r="A6" s="5" t="s">
        <v>6</v>
      </c>
      <c r="B6" s="8" t="s">
        <v>16</v>
      </c>
      <c r="F6" s="351" t="s">
        <v>460</v>
      </c>
      <c r="G6" s="351"/>
      <c r="H6" s="351"/>
      <c r="I6" s="44"/>
      <c r="J6" s="351" t="s">
        <v>524</v>
      </c>
      <c r="K6" s="351"/>
      <c r="L6" s="351"/>
      <c r="M6" s="351"/>
      <c r="N6" s="351"/>
    </row>
    <row r="7" spans="1:14">
      <c r="B7" s="32" t="s">
        <v>17</v>
      </c>
      <c r="C7" s="32" t="s">
        <v>457</v>
      </c>
      <c r="D7" s="32" t="s">
        <v>117</v>
      </c>
      <c r="E7" s="32" t="s">
        <v>116</v>
      </c>
      <c r="F7" s="32" t="s">
        <v>459</v>
      </c>
      <c r="G7" s="32" t="s">
        <v>458</v>
      </c>
      <c r="H7" s="32" t="s">
        <v>512</v>
      </c>
      <c r="I7" s="8" t="s">
        <v>525</v>
      </c>
      <c r="J7" s="32" t="s">
        <v>462</v>
      </c>
      <c r="K7" s="32" t="s">
        <v>513</v>
      </c>
      <c r="L7" s="32" t="s">
        <v>463</v>
      </c>
      <c r="M7" s="32" t="s">
        <v>461</v>
      </c>
      <c r="N7" s="32" t="s">
        <v>509</v>
      </c>
    </row>
    <row r="8" spans="1:14">
      <c r="B8" s="291" t="str">
        <f>Node!B8</f>
        <v>INVIHR11AMB1SAEC01NK</v>
      </c>
      <c r="C8" s="129" t="s">
        <v>105</v>
      </c>
      <c r="D8" s="129">
        <v>11</v>
      </c>
      <c r="E8" s="129" t="s">
        <v>166</v>
      </c>
      <c r="F8" s="129">
        <v>75000</v>
      </c>
      <c r="G8" s="129">
        <v>1</v>
      </c>
      <c r="H8" s="129" t="s">
        <v>492</v>
      </c>
      <c r="I8" s="129" t="s">
        <v>83</v>
      </c>
      <c r="J8" s="34" t="str">
        <f>IF(ISBLANK('[1]Offline Charging'!$E$4),"99.99.99.20",('[1]Offline Charging'!$E$4))</f>
        <v>10.95.58.71</v>
      </c>
      <c r="K8" s="263" t="s">
        <v>84</v>
      </c>
      <c r="L8" s="34" t="str">
        <f>IF(ISBLANK('[1]Offline Charging'!$E$5),"3386",('[1]Offline Charging'!$E$5))</f>
        <v>3386</v>
      </c>
      <c r="M8" s="33" t="s">
        <v>84</v>
      </c>
      <c r="N8" s="33">
        <v>15</v>
      </c>
    </row>
    <row r="9" spans="1:14">
      <c r="B9" s="21" t="str">
        <f>Node!B8</f>
        <v>INVIHR11AMB1SAEC01NK</v>
      </c>
      <c r="C9" s="129"/>
      <c r="D9" s="129"/>
      <c r="E9" s="129"/>
      <c r="F9" s="129"/>
      <c r="G9" s="129"/>
      <c r="H9" s="129"/>
      <c r="I9" s="129" t="s">
        <v>84</v>
      </c>
      <c r="J9" s="34" t="str">
        <f>IF(ISBLANK('[1]Offline Charging'!$F$4),"99.99.99.21",('[1]Offline Charging'!$F$4))</f>
        <v>10.95.58.72</v>
      </c>
      <c r="K9" s="249" t="s">
        <v>84</v>
      </c>
      <c r="L9" s="34" t="str">
        <f>IF(ISBLANK('[1]Offline Charging'!$F$5),"3386",('[1]Offline Charging'!$F$5))</f>
        <v>3386</v>
      </c>
      <c r="M9" s="33" t="s">
        <v>84</v>
      </c>
      <c r="N9" s="33">
        <v>5</v>
      </c>
    </row>
    <row r="10" spans="1:14">
      <c r="B10" s="21" t="str">
        <f>Node!B8</f>
        <v>INVIHR11AMB1SAEC01NK</v>
      </c>
      <c r="C10" s="129" t="s">
        <v>104</v>
      </c>
      <c r="D10" s="129">
        <v>11</v>
      </c>
      <c r="E10" s="129" t="s">
        <v>167</v>
      </c>
      <c r="F10" s="129">
        <v>100</v>
      </c>
      <c r="G10" s="129">
        <v>1</v>
      </c>
      <c r="H10" s="129" t="s">
        <v>492</v>
      </c>
      <c r="I10" s="129" t="s">
        <v>83</v>
      </c>
      <c r="J10" s="34" t="str">
        <f>IF(ISBLANK('[1]Offline Charging'!$E$9),"99.99.99.22",('[1]Offline Charging'!$E$9))</f>
        <v>10.95.58.69</v>
      </c>
      <c r="K10" s="249" t="s">
        <v>84</v>
      </c>
      <c r="L10" s="34" t="str">
        <f>IF(ISBLANK('[1]Offline Charging'!$E$10),"3386",('[1]Offline Charging'!$E$10))</f>
        <v>3386</v>
      </c>
      <c r="M10" s="33" t="s">
        <v>84</v>
      </c>
      <c r="N10" s="33">
        <v>15</v>
      </c>
    </row>
    <row r="11" spans="1:14">
      <c r="B11" s="21" t="str">
        <f>Node!B8</f>
        <v>INVIHR11AMB1SAEC01NK</v>
      </c>
      <c r="C11" s="129"/>
      <c r="D11" s="129"/>
      <c r="E11" s="129"/>
      <c r="F11" s="129"/>
      <c r="G11" s="129"/>
      <c r="H11" s="129"/>
      <c r="I11" s="129" t="s">
        <v>84</v>
      </c>
      <c r="J11" s="34" t="str">
        <f>IF(ISBLANK('[1]Offline Charging'!$F$9),"99.99.99.23",('[1]Offline Charging'!$F$9))</f>
        <v>10.95.58.70</v>
      </c>
      <c r="K11" s="249" t="s">
        <v>84</v>
      </c>
      <c r="L11" s="34" t="str">
        <f>IF(ISBLANK('[1]Offline Charging'!$F$10),"3386",('[1]Offline Charging'!$F$10))</f>
        <v>3386</v>
      </c>
      <c r="M11" s="33" t="s">
        <v>84</v>
      </c>
      <c r="N11" s="33">
        <v>5</v>
      </c>
    </row>
  </sheetData>
  <mergeCells count="3">
    <mergeCell ref="J6:N6"/>
    <mergeCell ref="B1:B3"/>
    <mergeCell ref="F6:H6"/>
  </mergeCells>
  <conditionalFormatting sqref="J8:J11">
    <cfRule type="cellIs" dxfId="19" priority="1" operator="equal">
      <formula>"nokia.com"</formula>
    </cfRule>
    <cfRule type="cellIs" dxfId="18" priority="2" operator="between">
      <formula>"99.99.99.0"</formula>
      <formula>"99.99.99.255"</formula>
    </cfRule>
  </conditionalFormatting>
  <dataValidations count="4">
    <dataValidation type="list" allowBlank="1" showInputMessage="1" showErrorMessage="1" sqref="I8:I41" xr:uid="{9FA56C2C-2438-4F1E-8437-1CAC3BCF2061}">
      <formula1>$I$1:$I$3</formula1>
    </dataValidation>
    <dataValidation type="list" allowBlank="1" showInputMessage="1" showErrorMessage="1" sqref="K12:K31" xr:uid="{7FE1A1E1-2297-4D7C-8B8F-15A6EA3F85E4}">
      <formula1>$K$1:$K$3</formula1>
    </dataValidation>
    <dataValidation type="list" allowBlank="1" showInputMessage="1" showErrorMessage="1" sqref="M8:M31" xr:uid="{F739A427-F531-4789-B700-33FD255AA7D3}">
      <formula1>$M$1:$M$3</formula1>
    </dataValidation>
    <dataValidation type="list" allowBlank="1" showInputMessage="1" showErrorMessage="1" sqref="H8:H61" xr:uid="{84D2F644-E3FA-498B-BBA6-7DEBCE491D24}">
      <formula1>$H$1:$H$3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New">
                <anchor moveWithCells="1">
                  <from>
                    <xdr:col>3</xdr:col>
                    <xdr:colOff>327660</xdr:colOff>
                    <xdr:row>3</xdr:row>
                    <xdr:rowOff>160020</xdr:rowOff>
                  </from>
                  <to>
                    <xdr:col>4</xdr:col>
                    <xdr:colOff>800100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98D2D-1EE0-4614-9FB0-92062D73D8B6}">
  <sheetPr codeName="Sheet12"/>
  <dimension ref="A1:P26"/>
  <sheetViews>
    <sheetView topLeftCell="A18" zoomScale="80" zoomScaleNormal="80" workbookViewId="0">
      <selection activeCell="A26" sqref="A26:XFD26"/>
    </sheetView>
  </sheetViews>
  <sheetFormatPr defaultRowHeight="14.4"/>
  <cols>
    <col min="1" max="1" width="3" customWidth="1"/>
    <col min="2" max="2" width="23.21875" bestFit="1" customWidth="1"/>
    <col min="3" max="3" width="27.21875" bestFit="1" customWidth="1"/>
    <col min="4" max="5" width="15.77734375" bestFit="1" customWidth="1"/>
    <col min="6" max="6" width="13.21875" bestFit="1" customWidth="1"/>
    <col min="7" max="7" width="11.88671875" bestFit="1" customWidth="1"/>
    <col min="8" max="8" width="18.88671875" bestFit="1" customWidth="1"/>
    <col min="9" max="9" width="14" bestFit="1" customWidth="1"/>
    <col min="10" max="10" width="10.21875" bestFit="1" customWidth="1"/>
    <col min="11" max="11" width="11.6640625" bestFit="1" customWidth="1"/>
    <col min="12" max="12" width="11.44140625" bestFit="1" customWidth="1"/>
    <col min="13" max="13" width="17.88671875" bestFit="1" customWidth="1"/>
    <col min="14" max="14" width="10.109375" bestFit="1" customWidth="1"/>
    <col min="15" max="15" width="27.44140625" bestFit="1" customWidth="1"/>
    <col min="16" max="16" width="23.21875" bestFit="1" customWidth="1"/>
  </cols>
  <sheetData>
    <row r="1" spans="1:16">
      <c r="A1" s="58" t="s">
        <v>6</v>
      </c>
      <c r="B1" s="344" t="s">
        <v>378</v>
      </c>
      <c r="C1" s="50" t="s">
        <v>536</v>
      </c>
      <c r="D1" s="50" t="s">
        <v>536</v>
      </c>
      <c r="E1" s="50" t="s">
        <v>536</v>
      </c>
      <c r="F1" s="51" t="s">
        <v>536</v>
      </c>
      <c r="G1" s="51" t="s">
        <v>536</v>
      </c>
      <c r="H1" s="51" t="s">
        <v>83</v>
      </c>
      <c r="I1" s="51" t="s">
        <v>536</v>
      </c>
      <c r="J1" s="52" t="s">
        <v>83</v>
      </c>
      <c r="K1" s="51" t="s">
        <v>536</v>
      </c>
      <c r="L1" s="51" t="s">
        <v>536</v>
      </c>
      <c r="M1" s="51" t="s">
        <v>536</v>
      </c>
      <c r="N1" s="51" t="s">
        <v>83</v>
      </c>
      <c r="O1" s="51" t="s">
        <v>536</v>
      </c>
      <c r="P1" s="51" t="s">
        <v>536</v>
      </c>
    </row>
    <row r="2" spans="1:16">
      <c r="A2" s="58" t="s">
        <v>6</v>
      </c>
      <c r="B2" s="344"/>
      <c r="C2" s="50"/>
      <c r="D2" s="51"/>
      <c r="E2" s="51"/>
      <c r="F2" s="51" t="s">
        <v>36</v>
      </c>
      <c r="G2" s="51" t="s">
        <v>36</v>
      </c>
      <c r="H2" s="51" t="s">
        <v>84</v>
      </c>
      <c r="I2" s="51" t="s">
        <v>36</v>
      </c>
      <c r="J2" s="51" t="s">
        <v>84</v>
      </c>
      <c r="K2" s="51" t="s">
        <v>36</v>
      </c>
      <c r="L2" s="51" t="s">
        <v>36</v>
      </c>
      <c r="M2" s="51" t="s">
        <v>36</v>
      </c>
      <c r="N2" s="51" t="s">
        <v>84</v>
      </c>
      <c r="O2" s="51" t="s">
        <v>36</v>
      </c>
      <c r="P2" s="51" t="s">
        <v>36</v>
      </c>
    </row>
    <row r="3" spans="1:16">
      <c r="A3" s="58" t="s">
        <v>6</v>
      </c>
      <c r="B3" s="344"/>
      <c r="C3" s="50"/>
      <c r="D3" s="51"/>
      <c r="E3" s="56"/>
      <c r="F3" s="50"/>
      <c r="G3" s="51"/>
      <c r="H3" s="51" t="s">
        <v>36</v>
      </c>
      <c r="I3" s="273"/>
      <c r="J3" s="51"/>
      <c r="K3" s="56"/>
      <c r="L3" s="50"/>
      <c r="M3" s="51"/>
      <c r="N3" s="56"/>
      <c r="O3" s="50"/>
      <c r="P3" s="51"/>
    </row>
    <row r="4" spans="1:16">
      <c r="A4" s="5" t="s">
        <v>6</v>
      </c>
      <c r="B4" s="7" t="s">
        <v>14</v>
      </c>
    </row>
    <row r="5" spans="1:16">
      <c r="A5" s="5" t="s">
        <v>6</v>
      </c>
      <c r="B5" s="128" t="s">
        <v>15</v>
      </c>
    </row>
    <row r="6" spans="1:16">
      <c r="A6" s="5" t="s">
        <v>6</v>
      </c>
      <c r="B6" s="8" t="s">
        <v>16</v>
      </c>
    </row>
    <row r="7" spans="1:16">
      <c r="B7" s="32" t="s">
        <v>17</v>
      </c>
      <c r="C7" s="32" t="s">
        <v>468</v>
      </c>
      <c r="D7" s="32" t="s">
        <v>526</v>
      </c>
      <c r="E7" s="32" t="s">
        <v>464</v>
      </c>
      <c r="F7" s="32" t="s">
        <v>480</v>
      </c>
      <c r="G7" s="32" t="s">
        <v>527</v>
      </c>
      <c r="H7" s="32" t="s">
        <v>1393</v>
      </c>
      <c r="I7" s="32" t="s">
        <v>465</v>
      </c>
      <c r="J7" s="45" t="s">
        <v>528</v>
      </c>
      <c r="K7" s="35" t="s">
        <v>470</v>
      </c>
      <c r="L7" s="35" t="s">
        <v>471</v>
      </c>
      <c r="M7" s="35" t="s">
        <v>472</v>
      </c>
      <c r="N7" s="45" t="s">
        <v>529</v>
      </c>
      <c r="O7" s="35" t="s">
        <v>125</v>
      </c>
      <c r="P7" s="35" t="s">
        <v>473</v>
      </c>
    </row>
    <row r="8" spans="1:16" ht="28.8">
      <c r="B8" s="23" t="str">
        <f>Node!B8</f>
        <v>INVIHR11AMB1SAEC01NK</v>
      </c>
      <c r="C8" s="130" t="s">
        <v>466</v>
      </c>
      <c r="D8" s="130" t="s">
        <v>469</v>
      </c>
      <c r="E8" s="34" t="str">
        <f>LEFT(LBVPRNs!G52,FIND("/",LBVPRNs!G52)-1)</f>
        <v>10.95.67.204</v>
      </c>
      <c r="F8" s="130" t="s">
        <v>467</v>
      </c>
      <c r="G8" s="141" t="s">
        <v>1425</v>
      </c>
      <c r="H8" s="141" t="s">
        <v>83</v>
      </c>
      <c r="I8" s="34" t="s">
        <v>1426</v>
      </c>
      <c r="J8" s="246" t="s">
        <v>83</v>
      </c>
      <c r="K8" s="130" t="s">
        <v>133</v>
      </c>
      <c r="L8" s="274" t="str">
        <f>'[2]External Interfaces'!$H$53</f>
        <v>10.8.0.0/16</v>
      </c>
      <c r="M8" s="274" t="str">
        <f>'[2]External Interfaces'!$I$53</f>
        <v>2402:3a80:13be::/47</v>
      </c>
      <c r="N8" s="247" t="s">
        <v>83</v>
      </c>
      <c r="O8" s="34" t="s">
        <v>1426</v>
      </c>
      <c r="P8" s="34" t="s">
        <v>1426</v>
      </c>
    </row>
    <row r="9" spans="1:16" ht="28.8">
      <c r="B9" s="23" t="str">
        <f>B8</f>
        <v>INVIHR11AMB1SAEC01NK</v>
      </c>
      <c r="C9" s="130" t="s">
        <v>466</v>
      </c>
      <c r="D9" s="130" t="s">
        <v>469</v>
      </c>
      <c r="E9" s="34" t="str">
        <f>E8</f>
        <v>10.95.67.204</v>
      </c>
      <c r="F9" s="130" t="s">
        <v>467</v>
      </c>
      <c r="G9" s="141" t="s">
        <v>1425</v>
      </c>
      <c r="H9" s="141" t="s">
        <v>83</v>
      </c>
      <c r="I9" s="34" t="s">
        <v>1426</v>
      </c>
      <c r="J9" s="130" t="s">
        <v>83</v>
      </c>
      <c r="K9" s="130" t="s">
        <v>133</v>
      </c>
      <c r="L9" s="274"/>
      <c r="M9" s="274"/>
      <c r="N9" s="248" t="s">
        <v>84</v>
      </c>
      <c r="O9" s="42" t="str">
        <f>_xlfn.CONCAT(O8,".mnc0",MGBasic!E8,".mcc",MGBasic!D8,".gprs")</f>
        <v>test1.mnc012.mcc404.gprs</v>
      </c>
      <c r="P9" s="34" t="s">
        <v>1426</v>
      </c>
    </row>
    <row r="10" spans="1:16" ht="28.8">
      <c r="B10" s="23" t="str">
        <f>Node!B8</f>
        <v>INVIHR11AMB1SAEC01NK</v>
      </c>
      <c r="C10" s="130" t="s">
        <v>466</v>
      </c>
      <c r="D10" s="130" t="s">
        <v>469</v>
      </c>
      <c r="E10" s="34" t="str">
        <f>E9</f>
        <v>10.95.67.204</v>
      </c>
      <c r="F10" s="130" t="s">
        <v>467</v>
      </c>
      <c r="G10" s="141" t="s">
        <v>1425</v>
      </c>
      <c r="H10" s="141" t="s">
        <v>83</v>
      </c>
      <c r="I10" s="34" t="s">
        <v>1426</v>
      </c>
      <c r="J10" s="130" t="s">
        <v>84</v>
      </c>
      <c r="K10" s="130" t="s">
        <v>474</v>
      </c>
      <c r="L10" s="274" t="str">
        <f>'[2]External Interfaces'!$H$55</f>
        <v>10.9.0.0/16</v>
      </c>
      <c r="M10" s="274" t="str">
        <f>'[2]External Interfaces'!$I$55</f>
        <v>2402:3a80:13a2::/47</v>
      </c>
      <c r="N10" s="247" t="s">
        <v>83</v>
      </c>
      <c r="O10" s="34" t="str">
        <f t="shared" ref="O10:O25" si="0">O8</f>
        <v>test1</v>
      </c>
      <c r="P10" s="34" t="s">
        <v>1426</v>
      </c>
    </row>
    <row r="11" spans="1:16" ht="28.8">
      <c r="B11" s="23" t="str">
        <f>Node!B8</f>
        <v>INVIHR11AMB1SAEC01NK</v>
      </c>
      <c r="C11" s="130" t="s">
        <v>466</v>
      </c>
      <c r="D11" s="130" t="s">
        <v>469</v>
      </c>
      <c r="E11" s="34" t="str">
        <f t="shared" ref="E11:E25" si="1">E10</f>
        <v>10.95.67.204</v>
      </c>
      <c r="F11" s="130" t="s">
        <v>467</v>
      </c>
      <c r="G11" s="141" t="s">
        <v>1425</v>
      </c>
      <c r="H11" s="141" t="s">
        <v>83</v>
      </c>
      <c r="I11" s="34" t="s">
        <v>1426</v>
      </c>
      <c r="J11" s="130" t="s">
        <v>84</v>
      </c>
      <c r="K11" s="130" t="s">
        <v>474</v>
      </c>
      <c r="L11" s="274"/>
      <c r="M11" s="274"/>
      <c r="N11" s="248" t="s">
        <v>84</v>
      </c>
      <c r="O11" s="34" t="str">
        <f t="shared" si="0"/>
        <v>test1.mnc012.mcc404.gprs</v>
      </c>
      <c r="P11" s="34" t="s">
        <v>1426</v>
      </c>
    </row>
    <row r="12" spans="1:16" ht="28.8">
      <c r="B12" s="23" t="str">
        <f>Node!B8</f>
        <v>INVIHR11AMB1SAEC01NK</v>
      </c>
      <c r="C12" s="130" t="s">
        <v>466</v>
      </c>
      <c r="D12" s="130" t="s">
        <v>469</v>
      </c>
      <c r="E12" s="34" t="str">
        <f t="shared" si="1"/>
        <v>10.95.67.204</v>
      </c>
      <c r="F12" s="130" t="s">
        <v>467</v>
      </c>
      <c r="G12" s="141" t="s">
        <v>1425</v>
      </c>
      <c r="H12" s="141" t="s">
        <v>83</v>
      </c>
      <c r="I12" s="34" t="s">
        <v>1426</v>
      </c>
      <c r="J12" s="130" t="s">
        <v>84</v>
      </c>
      <c r="K12" s="130" t="s">
        <v>620</v>
      </c>
      <c r="L12" s="274" t="str">
        <f>'[2]External Interfaces'!$H$57</f>
        <v>10.10.0.0/16</v>
      </c>
      <c r="M12" s="274" t="str">
        <f>'[2]External Interfaces'!$I$57</f>
        <v>2402:3a80:13a4::/47</v>
      </c>
      <c r="N12" s="247" t="s">
        <v>83</v>
      </c>
      <c r="O12" s="34" t="str">
        <f t="shared" si="0"/>
        <v>test1</v>
      </c>
      <c r="P12" s="34" t="s">
        <v>1426</v>
      </c>
    </row>
    <row r="13" spans="1:16" ht="28.8">
      <c r="B13" s="23" t="str">
        <f>Node!B8</f>
        <v>INVIHR11AMB1SAEC01NK</v>
      </c>
      <c r="C13" s="130" t="s">
        <v>466</v>
      </c>
      <c r="D13" s="130" t="s">
        <v>469</v>
      </c>
      <c r="E13" s="34" t="str">
        <f t="shared" si="1"/>
        <v>10.95.67.204</v>
      </c>
      <c r="F13" s="130" t="s">
        <v>467</v>
      </c>
      <c r="G13" s="141" t="s">
        <v>1425</v>
      </c>
      <c r="H13" s="141" t="s">
        <v>83</v>
      </c>
      <c r="I13" s="34" t="s">
        <v>1426</v>
      </c>
      <c r="J13" s="130" t="s">
        <v>84</v>
      </c>
      <c r="K13" s="130" t="s">
        <v>620</v>
      </c>
      <c r="L13" s="274"/>
      <c r="M13" s="274"/>
      <c r="N13" s="248" t="s">
        <v>84</v>
      </c>
      <c r="O13" s="34" t="str">
        <f t="shared" si="0"/>
        <v>test1.mnc012.mcc404.gprs</v>
      </c>
      <c r="P13" s="34" t="s">
        <v>1426</v>
      </c>
    </row>
    <row r="14" spans="1:16" ht="28.8">
      <c r="B14" s="23" t="str">
        <f>Node!B8</f>
        <v>INVIHR11AMB1SAEC01NK</v>
      </c>
      <c r="C14" s="130" t="s">
        <v>466</v>
      </c>
      <c r="D14" s="130" t="s">
        <v>469</v>
      </c>
      <c r="E14" s="34" t="str">
        <f t="shared" si="1"/>
        <v>10.95.67.204</v>
      </c>
      <c r="F14" s="130" t="s">
        <v>467</v>
      </c>
      <c r="G14" s="141" t="s">
        <v>1425</v>
      </c>
      <c r="H14" s="141" t="s">
        <v>83</v>
      </c>
      <c r="I14" s="34" t="s">
        <v>1426</v>
      </c>
      <c r="J14" s="130" t="s">
        <v>84</v>
      </c>
      <c r="K14" s="130" t="s">
        <v>621</v>
      </c>
      <c r="L14" s="274" t="str">
        <f>'[2]External Interfaces'!$H$59</f>
        <v>10.11.0.0/16</v>
      </c>
      <c r="M14" s="274" t="str">
        <f>'[2]External Interfaces'!$I$59</f>
        <v>2402:3a80:13a6::/47</v>
      </c>
      <c r="N14" s="247" t="s">
        <v>83</v>
      </c>
      <c r="O14" s="34" t="str">
        <f t="shared" si="0"/>
        <v>test1</v>
      </c>
      <c r="P14" s="34" t="s">
        <v>1426</v>
      </c>
    </row>
    <row r="15" spans="1:16" ht="28.8">
      <c r="B15" s="23" t="str">
        <f>Node!B8</f>
        <v>INVIHR11AMB1SAEC01NK</v>
      </c>
      <c r="C15" s="130" t="s">
        <v>466</v>
      </c>
      <c r="D15" s="130" t="s">
        <v>469</v>
      </c>
      <c r="E15" s="34" t="str">
        <f t="shared" si="1"/>
        <v>10.95.67.204</v>
      </c>
      <c r="F15" s="130" t="s">
        <v>467</v>
      </c>
      <c r="G15" s="141" t="s">
        <v>1425</v>
      </c>
      <c r="H15" s="141" t="s">
        <v>83</v>
      </c>
      <c r="I15" s="34" t="s">
        <v>1426</v>
      </c>
      <c r="J15" s="130" t="s">
        <v>84</v>
      </c>
      <c r="K15" s="130" t="s">
        <v>621</v>
      </c>
      <c r="L15" s="274"/>
      <c r="M15" s="274"/>
      <c r="N15" s="248" t="s">
        <v>84</v>
      </c>
      <c r="O15" s="34" t="str">
        <f t="shared" si="0"/>
        <v>test1.mnc012.mcc404.gprs</v>
      </c>
      <c r="P15" s="34" t="s">
        <v>1426</v>
      </c>
    </row>
    <row r="16" spans="1:16" ht="28.8">
      <c r="B16" s="23" t="str">
        <f>Node!B8</f>
        <v>INVIHR11AMB1SAEC01NK</v>
      </c>
      <c r="C16" s="130" t="s">
        <v>466</v>
      </c>
      <c r="D16" s="130" t="s">
        <v>469</v>
      </c>
      <c r="E16" s="34" t="str">
        <f t="shared" si="1"/>
        <v>10.95.67.204</v>
      </c>
      <c r="F16" s="130" t="s">
        <v>467</v>
      </c>
      <c r="G16" s="141" t="s">
        <v>1425</v>
      </c>
      <c r="H16" s="141" t="s">
        <v>83</v>
      </c>
      <c r="I16" s="34" t="s">
        <v>1426</v>
      </c>
      <c r="J16" s="130" t="s">
        <v>84</v>
      </c>
      <c r="K16" s="130" t="s">
        <v>1428</v>
      </c>
      <c r="L16" s="274">
        <f>'[2]External Interfaces'!$H$511</f>
        <v>0</v>
      </c>
      <c r="M16" s="274">
        <f>'[2]External Interfaces'!$I$511</f>
        <v>0</v>
      </c>
      <c r="N16" s="247" t="s">
        <v>83</v>
      </c>
      <c r="O16" s="34" t="str">
        <f t="shared" si="0"/>
        <v>test1</v>
      </c>
      <c r="P16" s="34" t="s">
        <v>1426</v>
      </c>
    </row>
    <row r="17" spans="2:16" ht="28.8">
      <c r="B17" s="23" t="str">
        <f>Node!B8</f>
        <v>INVIHR11AMB1SAEC01NK</v>
      </c>
      <c r="C17" s="130" t="s">
        <v>466</v>
      </c>
      <c r="D17" s="130" t="s">
        <v>469</v>
      </c>
      <c r="E17" s="34" t="str">
        <f t="shared" si="1"/>
        <v>10.95.67.204</v>
      </c>
      <c r="F17" s="130" t="s">
        <v>467</v>
      </c>
      <c r="G17" s="141" t="s">
        <v>1425</v>
      </c>
      <c r="H17" s="141" t="s">
        <v>83</v>
      </c>
      <c r="I17" s="34" t="s">
        <v>1426</v>
      </c>
      <c r="J17" s="130" t="s">
        <v>84</v>
      </c>
      <c r="K17" s="130" t="s">
        <v>1428</v>
      </c>
      <c r="L17" s="274"/>
      <c r="M17" s="274"/>
      <c r="N17" s="248" t="s">
        <v>84</v>
      </c>
      <c r="O17" s="34" t="str">
        <f t="shared" si="0"/>
        <v>test1.mnc012.mcc404.gprs</v>
      </c>
      <c r="P17" s="34" t="s">
        <v>1426</v>
      </c>
    </row>
    <row r="18" spans="2:16" ht="28.8">
      <c r="B18" s="23" t="str">
        <f>Node!B8</f>
        <v>INVIHR11AMB1SAEC01NK</v>
      </c>
      <c r="C18" s="130" t="s">
        <v>466</v>
      </c>
      <c r="D18" s="130" t="s">
        <v>469</v>
      </c>
      <c r="E18" s="34" t="str">
        <f t="shared" si="1"/>
        <v>10.95.67.204</v>
      </c>
      <c r="F18" s="130" t="s">
        <v>467</v>
      </c>
      <c r="G18" s="141" t="s">
        <v>1425</v>
      </c>
      <c r="H18" s="141" t="s">
        <v>83</v>
      </c>
      <c r="I18" s="34" t="s">
        <v>1426</v>
      </c>
      <c r="J18" s="130" t="s">
        <v>84</v>
      </c>
      <c r="K18" s="130" t="s">
        <v>1102</v>
      </c>
      <c r="L18" s="274">
        <f>'[2]External Interfaces'!$H$513</f>
        <v>0</v>
      </c>
      <c r="M18" s="274">
        <f>'[2]External Interfaces'!$I$513</f>
        <v>0</v>
      </c>
      <c r="N18" s="247" t="s">
        <v>83</v>
      </c>
      <c r="O18" s="34" t="str">
        <f t="shared" si="0"/>
        <v>test1</v>
      </c>
      <c r="P18" s="34" t="s">
        <v>1426</v>
      </c>
    </row>
    <row r="19" spans="2:16" ht="28.8">
      <c r="B19" s="23" t="str">
        <f>Node!B8</f>
        <v>INVIHR11AMB1SAEC01NK</v>
      </c>
      <c r="C19" s="130" t="s">
        <v>466</v>
      </c>
      <c r="D19" s="130" t="s">
        <v>469</v>
      </c>
      <c r="E19" s="34" t="str">
        <f t="shared" si="1"/>
        <v>10.95.67.204</v>
      </c>
      <c r="F19" s="130" t="s">
        <v>467</v>
      </c>
      <c r="G19" s="141" t="s">
        <v>1425</v>
      </c>
      <c r="H19" s="141" t="s">
        <v>83</v>
      </c>
      <c r="I19" s="34" t="s">
        <v>1426</v>
      </c>
      <c r="J19" s="130" t="s">
        <v>84</v>
      </c>
      <c r="K19" s="130" t="s">
        <v>1102</v>
      </c>
      <c r="L19" s="274"/>
      <c r="M19" s="274"/>
      <c r="N19" s="248" t="s">
        <v>84</v>
      </c>
      <c r="O19" s="34" t="str">
        <f t="shared" si="0"/>
        <v>test1.mnc012.mcc404.gprs</v>
      </c>
      <c r="P19" s="34" t="s">
        <v>1426</v>
      </c>
    </row>
    <row r="20" spans="2:16" ht="28.8">
      <c r="B20" s="23" t="str">
        <f>Node!B8</f>
        <v>INVIHR11AMB1SAEC01NK</v>
      </c>
      <c r="C20" s="130" t="s">
        <v>466</v>
      </c>
      <c r="D20" s="130" t="s">
        <v>469</v>
      </c>
      <c r="E20" s="34" t="str">
        <f t="shared" si="1"/>
        <v>10.95.67.204</v>
      </c>
      <c r="F20" s="130" t="s">
        <v>467</v>
      </c>
      <c r="G20" s="141" t="s">
        <v>1425</v>
      </c>
      <c r="H20" s="141" t="s">
        <v>83</v>
      </c>
      <c r="I20" s="34" t="s">
        <v>1426</v>
      </c>
      <c r="J20" s="130" t="s">
        <v>84</v>
      </c>
      <c r="K20" s="130" t="s">
        <v>1103</v>
      </c>
      <c r="L20" s="274">
        <f>'[2]External Interfaces'!$H$513</f>
        <v>0</v>
      </c>
      <c r="M20" s="274">
        <f>'[2]External Interfaces'!$I$513</f>
        <v>0</v>
      </c>
      <c r="N20" s="247" t="s">
        <v>83</v>
      </c>
      <c r="O20" s="34" t="str">
        <f t="shared" si="0"/>
        <v>test1</v>
      </c>
      <c r="P20" s="34" t="s">
        <v>1426</v>
      </c>
    </row>
    <row r="21" spans="2:16" ht="28.8">
      <c r="B21" s="23" t="str">
        <f>Node!B8</f>
        <v>INVIHR11AMB1SAEC01NK</v>
      </c>
      <c r="C21" s="130" t="s">
        <v>466</v>
      </c>
      <c r="D21" s="130" t="s">
        <v>469</v>
      </c>
      <c r="E21" s="34" t="str">
        <f t="shared" si="1"/>
        <v>10.95.67.204</v>
      </c>
      <c r="F21" s="130" t="s">
        <v>467</v>
      </c>
      <c r="G21" s="141" t="s">
        <v>1425</v>
      </c>
      <c r="H21" s="141" t="s">
        <v>83</v>
      </c>
      <c r="I21" s="34" t="s">
        <v>1426</v>
      </c>
      <c r="J21" s="130" t="s">
        <v>84</v>
      </c>
      <c r="K21" s="130" t="s">
        <v>1103</v>
      </c>
      <c r="L21" s="274"/>
      <c r="M21" s="274"/>
      <c r="N21" s="248" t="s">
        <v>84</v>
      </c>
      <c r="O21" s="34" t="str">
        <f t="shared" si="0"/>
        <v>test1.mnc012.mcc404.gprs</v>
      </c>
      <c r="P21" s="34" t="s">
        <v>1426</v>
      </c>
    </row>
    <row r="22" spans="2:16" ht="28.8">
      <c r="B22" s="23" t="str">
        <f>Node!B8</f>
        <v>INVIHR11AMB1SAEC01NK</v>
      </c>
      <c r="C22" s="130" t="s">
        <v>466</v>
      </c>
      <c r="D22" s="130" t="s">
        <v>469</v>
      </c>
      <c r="E22" s="34" t="str">
        <f t="shared" si="1"/>
        <v>10.95.67.204</v>
      </c>
      <c r="F22" s="130" t="s">
        <v>467</v>
      </c>
      <c r="G22" s="141" t="s">
        <v>1425</v>
      </c>
      <c r="H22" s="141" t="s">
        <v>83</v>
      </c>
      <c r="I22" s="34" t="s">
        <v>1426</v>
      </c>
      <c r="J22" s="130" t="s">
        <v>84</v>
      </c>
      <c r="K22" s="130" t="s">
        <v>1105</v>
      </c>
      <c r="L22" s="274">
        <f>'[2]External Interfaces'!$H$515</f>
        <v>0</v>
      </c>
      <c r="M22" s="274">
        <f>'[2]External Interfaces'!$I$515</f>
        <v>0</v>
      </c>
      <c r="N22" s="247" t="s">
        <v>83</v>
      </c>
      <c r="O22" s="34" t="str">
        <f t="shared" si="0"/>
        <v>test1</v>
      </c>
      <c r="P22" s="34" t="s">
        <v>1426</v>
      </c>
    </row>
    <row r="23" spans="2:16" ht="28.8">
      <c r="B23" s="23" t="str">
        <f>Node!B8</f>
        <v>INVIHR11AMB1SAEC01NK</v>
      </c>
      <c r="C23" s="130" t="s">
        <v>466</v>
      </c>
      <c r="D23" s="130" t="s">
        <v>469</v>
      </c>
      <c r="E23" s="34" t="str">
        <f t="shared" si="1"/>
        <v>10.95.67.204</v>
      </c>
      <c r="F23" s="130" t="s">
        <v>467</v>
      </c>
      <c r="G23" s="141" t="s">
        <v>1425</v>
      </c>
      <c r="H23" s="141" t="s">
        <v>83</v>
      </c>
      <c r="I23" s="34" t="s">
        <v>1426</v>
      </c>
      <c r="J23" s="130" t="s">
        <v>84</v>
      </c>
      <c r="K23" s="130" t="s">
        <v>1105</v>
      </c>
      <c r="L23" s="274"/>
      <c r="M23" s="274"/>
      <c r="N23" s="248" t="s">
        <v>84</v>
      </c>
      <c r="O23" s="34" t="str">
        <f t="shared" si="0"/>
        <v>test1.mnc012.mcc404.gprs</v>
      </c>
      <c r="P23" s="34" t="s">
        <v>1426</v>
      </c>
    </row>
    <row r="24" spans="2:16" ht="28.8">
      <c r="B24" s="23" t="str">
        <f>Node!B8</f>
        <v>INVIHR11AMB1SAEC01NK</v>
      </c>
      <c r="C24" s="130" t="s">
        <v>466</v>
      </c>
      <c r="D24" s="130" t="s">
        <v>469</v>
      </c>
      <c r="E24" s="34" t="str">
        <f t="shared" si="1"/>
        <v>10.95.67.204</v>
      </c>
      <c r="F24" s="130" t="s">
        <v>467</v>
      </c>
      <c r="G24" s="141" t="s">
        <v>1425</v>
      </c>
      <c r="H24" s="141" t="s">
        <v>83</v>
      </c>
      <c r="I24" s="34" t="s">
        <v>1426</v>
      </c>
      <c r="J24" s="130" t="s">
        <v>84</v>
      </c>
      <c r="K24" s="130" t="s">
        <v>1104</v>
      </c>
      <c r="L24" s="274">
        <f>'[2]External Interfaces'!$H$517</f>
        <v>0</v>
      </c>
      <c r="M24" s="274">
        <f>'[2]External Interfaces'!$I$517</f>
        <v>0</v>
      </c>
      <c r="N24" s="247" t="s">
        <v>83</v>
      </c>
      <c r="O24" s="34" t="str">
        <f t="shared" si="0"/>
        <v>test1</v>
      </c>
      <c r="P24" s="34" t="s">
        <v>1426</v>
      </c>
    </row>
    <row r="25" spans="2:16" ht="28.8">
      <c r="B25" s="23" t="str">
        <f>Node!B8</f>
        <v>INVIHR11AMB1SAEC01NK</v>
      </c>
      <c r="C25" s="130" t="s">
        <v>466</v>
      </c>
      <c r="D25" s="130" t="s">
        <v>469</v>
      </c>
      <c r="E25" s="34" t="str">
        <f t="shared" si="1"/>
        <v>10.95.67.204</v>
      </c>
      <c r="F25" s="130" t="s">
        <v>467</v>
      </c>
      <c r="G25" s="141" t="s">
        <v>1425</v>
      </c>
      <c r="H25" s="141" t="s">
        <v>83</v>
      </c>
      <c r="I25" s="34" t="s">
        <v>1426</v>
      </c>
      <c r="J25" s="130" t="s">
        <v>84</v>
      </c>
      <c r="K25" s="130" t="s">
        <v>1104</v>
      </c>
      <c r="L25" s="274"/>
      <c r="M25" s="274"/>
      <c r="N25" s="248" t="s">
        <v>84</v>
      </c>
      <c r="O25" s="34" t="str">
        <f t="shared" si="0"/>
        <v>test1.mnc012.mcc404.gprs</v>
      </c>
      <c r="P25" s="34" t="s">
        <v>1426</v>
      </c>
    </row>
    <row r="26" spans="2:16">
      <c r="B26" s="220" t="str">
        <f>Node!B9</f>
        <v>INVIHR11AMB1SAEU01NK</v>
      </c>
      <c r="C26" s="130" t="s">
        <v>478</v>
      </c>
      <c r="D26" s="130" t="s">
        <v>479</v>
      </c>
      <c r="E26" s="34" t="str">
        <f>LEFT(LBVPRNs!G36,FIND("/",LBVPRNs!G36)-1)</f>
        <v>10.95.67.202</v>
      </c>
      <c r="F26" s="130" t="s">
        <v>36</v>
      </c>
      <c r="G26" s="130" t="s">
        <v>36</v>
      </c>
      <c r="H26" s="130" t="s">
        <v>36</v>
      </c>
      <c r="I26" s="130" t="s">
        <v>36</v>
      </c>
      <c r="J26" s="140" t="s">
        <v>83</v>
      </c>
      <c r="K26" s="130" t="s">
        <v>36</v>
      </c>
      <c r="L26" s="34" t="s">
        <v>36</v>
      </c>
      <c r="M26" s="34" t="s">
        <v>36</v>
      </c>
      <c r="N26" s="140" t="s">
        <v>83</v>
      </c>
      <c r="O26" s="34" t="s">
        <v>36</v>
      </c>
      <c r="P26" s="34" t="s">
        <v>36</v>
      </c>
    </row>
  </sheetData>
  <mergeCells count="1">
    <mergeCell ref="B1:B3"/>
  </mergeCells>
  <dataValidations count="2">
    <dataValidation type="list" allowBlank="1" showInputMessage="1" showErrorMessage="1" sqref="N26 J8:J38" xr:uid="{7BEC8609-F468-44B5-ABA5-8A11CFEC3569}">
      <formula1>$J$1:$J$3</formula1>
    </dataValidation>
    <dataValidation type="list" allowBlank="1" showInputMessage="1" showErrorMessage="1" sqref="N8:N25" xr:uid="{A351D0F6-77C6-465D-8DAD-5D187EB58D04}">
      <formula1>$N$1:$N$3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AddNew">
                <anchor moveWithCells="1">
                  <from>
                    <xdr:col>3</xdr:col>
                    <xdr:colOff>670560</xdr:colOff>
                    <xdr:row>3</xdr:row>
                    <xdr:rowOff>106680</xdr:rowOff>
                  </from>
                  <to>
                    <xdr:col>4</xdr:col>
                    <xdr:colOff>556260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59482-CD07-4006-93FC-CDE94C97084B}">
  <sheetPr codeName="Sheet13"/>
  <dimension ref="A1:Q27"/>
  <sheetViews>
    <sheetView topLeftCell="A2" zoomScale="90" zoomScaleNormal="90" workbookViewId="0">
      <selection activeCell="I8" sqref="I8"/>
    </sheetView>
  </sheetViews>
  <sheetFormatPr defaultRowHeight="14.4"/>
  <cols>
    <col min="1" max="1" width="3.109375" bestFit="1" customWidth="1"/>
    <col min="2" max="2" width="24.33203125" bestFit="1" customWidth="1"/>
    <col min="3" max="3" width="28.33203125" bestFit="1" customWidth="1"/>
    <col min="4" max="4" width="10.5546875" bestFit="1" customWidth="1"/>
    <col min="5" max="5" width="15.88671875" bestFit="1" customWidth="1"/>
    <col min="6" max="6" width="9.44140625" bestFit="1" customWidth="1"/>
    <col min="7" max="7" width="14.5546875" bestFit="1" customWidth="1"/>
    <col min="8" max="8" width="13.33203125" bestFit="1" customWidth="1"/>
    <col min="9" max="10" width="21.5546875" bestFit="1" customWidth="1"/>
    <col min="11" max="11" width="10.109375" bestFit="1" customWidth="1"/>
    <col min="12" max="12" width="16.88671875" bestFit="1" customWidth="1"/>
    <col min="13" max="13" width="15.77734375" bestFit="1" customWidth="1"/>
    <col min="14" max="14" width="18.6640625" bestFit="1" customWidth="1"/>
    <col min="15" max="15" width="7.88671875" bestFit="1" customWidth="1"/>
    <col min="16" max="16" width="13.6640625" bestFit="1" customWidth="1"/>
    <col min="17" max="17" width="15" bestFit="1" customWidth="1"/>
  </cols>
  <sheetData>
    <row r="1" spans="1:17">
      <c r="A1" s="58" t="s">
        <v>6</v>
      </c>
      <c r="B1" s="344" t="s">
        <v>378</v>
      </c>
      <c r="C1" s="50"/>
      <c r="D1" s="52" t="s">
        <v>83</v>
      </c>
      <c r="E1" s="51" t="s">
        <v>536</v>
      </c>
      <c r="F1" s="51" t="s">
        <v>536</v>
      </c>
      <c r="G1" s="51" t="s">
        <v>536</v>
      </c>
      <c r="H1" s="51" t="s">
        <v>536</v>
      </c>
      <c r="I1" s="51" t="s">
        <v>536</v>
      </c>
      <c r="J1" s="51" t="s">
        <v>536</v>
      </c>
      <c r="K1" s="52" t="s">
        <v>83</v>
      </c>
      <c r="L1" s="51" t="s">
        <v>536</v>
      </c>
      <c r="M1" s="51" t="s">
        <v>536</v>
      </c>
      <c r="N1" s="51" t="s">
        <v>536</v>
      </c>
      <c r="O1" s="51" t="s">
        <v>536</v>
      </c>
      <c r="P1" s="51" t="s">
        <v>536</v>
      </c>
      <c r="Q1" s="51" t="s">
        <v>536</v>
      </c>
    </row>
    <row r="2" spans="1:17">
      <c r="A2" s="58" t="s">
        <v>6</v>
      </c>
      <c r="B2" s="344"/>
      <c r="C2" s="50"/>
      <c r="D2" s="51" t="s">
        <v>84</v>
      </c>
      <c r="E2" s="51" t="s">
        <v>36</v>
      </c>
      <c r="F2" s="51" t="s">
        <v>36</v>
      </c>
      <c r="G2" s="51" t="s">
        <v>36</v>
      </c>
      <c r="H2" s="51" t="s">
        <v>36</v>
      </c>
      <c r="I2" s="51" t="s">
        <v>36</v>
      </c>
      <c r="J2" s="51" t="s">
        <v>36</v>
      </c>
      <c r="K2" s="51" t="s">
        <v>84</v>
      </c>
      <c r="L2" s="51" t="s">
        <v>36</v>
      </c>
      <c r="M2" s="51" t="s">
        <v>36</v>
      </c>
      <c r="N2" s="51" t="s">
        <v>36</v>
      </c>
      <c r="O2" s="51" t="s">
        <v>36</v>
      </c>
      <c r="P2" s="51" t="s">
        <v>36</v>
      </c>
      <c r="Q2" s="51" t="s">
        <v>36</v>
      </c>
    </row>
    <row r="3" spans="1:17">
      <c r="A3" s="58" t="s">
        <v>6</v>
      </c>
      <c r="B3" s="344"/>
      <c r="C3" s="50"/>
      <c r="D3" s="51"/>
      <c r="E3" s="56"/>
      <c r="F3" s="50"/>
      <c r="G3" s="277" t="s">
        <v>1368</v>
      </c>
      <c r="H3" s="279" t="s">
        <v>1369</v>
      </c>
      <c r="I3" s="278" t="s">
        <v>1371</v>
      </c>
      <c r="J3" s="278" t="s">
        <v>1372</v>
      </c>
      <c r="K3" s="52" t="s">
        <v>36</v>
      </c>
      <c r="L3" s="51"/>
      <c r="M3" s="56"/>
      <c r="N3" s="50"/>
      <c r="O3" s="51"/>
      <c r="P3" s="51"/>
      <c r="Q3" s="51"/>
    </row>
    <row r="4" spans="1:17">
      <c r="A4" s="5" t="s">
        <v>6</v>
      </c>
      <c r="B4" s="7" t="s">
        <v>14</v>
      </c>
    </row>
    <row r="5" spans="1:17">
      <c r="A5" s="5" t="s">
        <v>6</v>
      </c>
      <c r="B5" s="128" t="s">
        <v>15</v>
      </c>
    </row>
    <row r="6" spans="1:17">
      <c r="A6" s="5" t="s">
        <v>6</v>
      </c>
      <c r="B6" s="8" t="s">
        <v>16</v>
      </c>
      <c r="F6" s="345" t="s">
        <v>478</v>
      </c>
      <c r="G6" s="345"/>
      <c r="H6" s="345"/>
      <c r="I6" s="345"/>
      <c r="J6" s="345"/>
      <c r="K6" s="345"/>
      <c r="L6" s="345"/>
      <c r="M6" s="345"/>
      <c r="N6" s="345"/>
      <c r="O6" s="345" t="s">
        <v>466</v>
      </c>
      <c r="P6" s="345"/>
    </row>
    <row r="7" spans="1:17">
      <c r="B7" s="31" t="s">
        <v>17</v>
      </c>
      <c r="C7" s="31" t="s">
        <v>510</v>
      </c>
      <c r="D7" s="8" t="s">
        <v>530</v>
      </c>
      <c r="E7" s="31" t="s">
        <v>531</v>
      </c>
      <c r="F7" s="31" t="s">
        <v>126</v>
      </c>
      <c r="G7" s="31" t="s">
        <v>127</v>
      </c>
      <c r="H7" s="31" t="s">
        <v>128</v>
      </c>
      <c r="I7" s="31" t="s">
        <v>129</v>
      </c>
      <c r="J7" s="31" t="s">
        <v>130</v>
      </c>
      <c r="K7" s="8" t="s">
        <v>475</v>
      </c>
      <c r="L7" s="31" t="s">
        <v>476</v>
      </c>
      <c r="M7" s="31" t="s">
        <v>477</v>
      </c>
      <c r="N7" s="31" t="s">
        <v>972</v>
      </c>
      <c r="O7" s="31" t="s">
        <v>131</v>
      </c>
      <c r="P7" s="31" t="s">
        <v>532</v>
      </c>
      <c r="Q7" s="35" t="s">
        <v>577</v>
      </c>
    </row>
    <row r="8" spans="1:17">
      <c r="B8" s="291" t="str">
        <f>Node!B8</f>
        <v>INVIHR11AMB1SAEC01NK</v>
      </c>
      <c r="C8" s="34" t="s">
        <v>1426</v>
      </c>
      <c r="D8" s="26" t="s">
        <v>83</v>
      </c>
      <c r="E8" s="34" t="s">
        <v>36</v>
      </c>
      <c r="F8" s="21">
        <v>960</v>
      </c>
      <c r="G8" s="34" t="str">
        <f>IF(ISBLANK([1]System!$F$12),"8.8.8.8",([1]System!$F$12))</f>
        <v xml:space="preserve">10.95.59.130
</v>
      </c>
      <c r="H8" s="34" t="str">
        <f>IF(ISBLANK([1]System!$F$13),"8.8.4.4",([1]System!$F$13))</f>
        <v>10.95.59.131</v>
      </c>
      <c r="I8" s="34" t="str">
        <f>IF(ISBLANK([1]System!$F$14),"2001:4860:4860::8888",([1]System!$F$14))</f>
        <v>2001:4860:4860::8888</v>
      </c>
      <c r="J8" s="34" t="str">
        <f>IF(ISBLANK([1]System!$F$15),"2001:4860:4860::8844",([1]System!$F$15))</f>
        <v>2001:4860:4860::8844</v>
      </c>
      <c r="K8" s="21" t="s">
        <v>84</v>
      </c>
      <c r="L8" s="21" t="str">
        <f>Diameter!C8</f>
        <v>PGW-Gx-PCRF-Peer-1</v>
      </c>
      <c r="M8" s="21" t="str">
        <f>Diameter!C9</f>
        <v>PGW-Gx-PCRF-Peer-2</v>
      </c>
      <c r="N8" s="21" t="s">
        <v>36</v>
      </c>
      <c r="O8" s="21" t="s">
        <v>36</v>
      </c>
      <c r="P8" s="21" t="s">
        <v>36</v>
      </c>
      <c r="Q8" s="21" t="s">
        <v>36</v>
      </c>
    </row>
    <row r="9" spans="1:17">
      <c r="B9" s="21" t="str">
        <f>Node!B8</f>
        <v>INVIHR11AMB1SAEC01NK</v>
      </c>
      <c r="C9" s="42" t="str">
        <f>_xlfn.CONCAT(C8,".mnc0",MGBasic!E8,".mcc",MGBasic!D8,".gprs")</f>
        <v>test1.mnc012.mcc404.gprs</v>
      </c>
      <c r="D9" s="26" t="s">
        <v>83</v>
      </c>
      <c r="E9" s="34" t="s">
        <v>36</v>
      </c>
      <c r="F9" s="21">
        <v>960</v>
      </c>
      <c r="G9" s="34" t="str">
        <f>IF(ISBLANK([1]System!$F$12),"8.8.8.8",([1]System!$F$12))</f>
        <v xml:space="preserve">10.95.59.130
</v>
      </c>
      <c r="H9" s="34" t="str">
        <f>IF(ISBLANK([1]System!$F$13),"8.8.4.4",([1]System!$F$13))</f>
        <v>10.95.59.131</v>
      </c>
      <c r="I9" s="34" t="str">
        <f>IF(ISBLANK([1]System!$F$14),"2001:4860:4860::8888",([1]System!$F$14))</f>
        <v>2001:4860:4860::8888</v>
      </c>
      <c r="J9" s="34" t="str">
        <f>IF(ISBLANK([1]System!$F$15),"2001:4860:4860::8844",([1]System!$F$15))</f>
        <v>2001:4860:4860::8844</v>
      </c>
      <c r="K9" s="21" t="s">
        <v>84</v>
      </c>
      <c r="L9" s="21" t="str">
        <f>Diameter!C8</f>
        <v>PGW-Gx-PCRF-Peer-1</v>
      </c>
      <c r="M9" s="21" t="str">
        <f>Diameter!C9</f>
        <v>PGW-Gx-PCRF-Peer-2</v>
      </c>
      <c r="N9" s="21" t="s">
        <v>36</v>
      </c>
      <c r="O9" s="21" t="s">
        <v>36</v>
      </c>
      <c r="P9" s="21" t="s">
        <v>36</v>
      </c>
      <c r="Q9" s="21" t="s">
        <v>36</v>
      </c>
    </row>
    <row r="10" spans="1:17">
      <c r="B10" s="25" t="str">
        <f>Node!B9</f>
        <v>INVIHR11AMB1SAEU01NK</v>
      </c>
      <c r="C10" s="34" t="str">
        <f>C8</f>
        <v>test1</v>
      </c>
      <c r="D10" s="26" t="s">
        <v>83</v>
      </c>
      <c r="E10" s="34" t="s">
        <v>36</v>
      </c>
      <c r="F10" s="21" t="s">
        <v>36</v>
      </c>
      <c r="G10" s="21" t="s">
        <v>36</v>
      </c>
      <c r="H10" s="21" t="s">
        <v>36</v>
      </c>
      <c r="I10" s="21" t="s">
        <v>36</v>
      </c>
      <c r="J10" s="21" t="s">
        <v>36</v>
      </c>
      <c r="K10" s="21" t="s">
        <v>36</v>
      </c>
      <c r="L10" s="21" t="s">
        <v>36</v>
      </c>
      <c r="M10" s="21" t="s">
        <v>36</v>
      </c>
      <c r="N10" s="21" t="s">
        <v>36</v>
      </c>
      <c r="O10" s="34">
        <v>1301</v>
      </c>
      <c r="P10" s="21" t="s">
        <v>133</v>
      </c>
      <c r="Q10" s="21" t="s">
        <v>36</v>
      </c>
    </row>
    <row r="11" spans="1:17">
      <c r="B11" s="25" t="str">
        <f>Node!B9</f>
        <v>INVIHR11AMB1SAEU01NK</v>
      </c>
      <c r="C11" s="34" t="str">
        <f>C10</f>
        <v>test1</v>
      </c>
      <c r="D11" s="26" t="s">
        <v>83</v>
      </c>
      <c r="E11" s="34" t="s">
        <v>36</v>
      </c>
      <c r="F11" s="21" t="s">
        <v>36</v>
      </c>
      <c r="G11" s="21" t="s">
        <v>36</v>
      </c>
      <c r="H11" s="21" t="s">
        <v>36</v>
      </c>
      <c r="I11" s="21" t="s">
        <v>36</v>
      </c>
      <c r="J11" s="21" t="s">
        <v>36</v>
      </c>
      <c r="K11" s="21" t="s">
        <v>36</v>
      </c>
      <c r="L11" s="21" t="s">
        <v>36</v>
      </c>
      <c r="M11" s="21" t="s">
        <v>36</v>
      </c>
      <c r="N11" s="21" t="s">
        <v>36</v>
      </c>
      <c r="O11" s="34">
        <v>1302</v>
      </c>
      <c r="P11" s="21" t="s">
        <v>474</v>
      </c>
      <c r="Q11" s="21" t="s">
        <v>36</v>
      </c>
    </row>
    <row r="12" spans="1:17">
      <c r="B12" s="25" t="str">
        <f>Node!B9</f>
        <v>INVIHR11AMB1SAEU01NK</v>
      </c>
      <c r="C12" s="34" t="str">
        <f>C10</f>
        <v>test1</v>
      </c>
      <c r="D12" s="26" t="s">
        <v>83</v>
      </c>
      <c r="E12" s="34" t="s">
        <v>36</v>
      </c>
      <c r="F12" s="21" t="s">
        <v>36</v>
      </c>
      <c r="G12" s="21" t="s">
        <v>36</v>
      </c>
      <c r="H12" s="21" t="s">
        <v>36</v>
      </c>
      <c r="I12" s="21" t="s">
        <v>36</v>
      </c>
      <c r="J12" s="21" t="s">
        <v>36</v>
      </c>
      <c r="K12" s="21" t="s">
        <v>36</v>
      </c>
      <c r="L12" s="21" t="s">
        <v>36</v>
      </c>
      <c r="M12" s="21" t="s">
        <v>36</v>
      </c>
      <c r="N12" s="21" t="s">
        <v>36</v>
      </c>
      <c r="O12" s="34">
        <v>1303</v>
      </c>
      <c r="P12" s="21" t="s">
        <v>620</v>
      </c>
      <c r="Q12" s="21" t="s">
        <v>36</v>
      </c>
    </row>
    <row r="13" spans="1:17">
      <c r="B13" s="25" t="str">
        <f>Node!B9</f>
        <v>INVIHR11AMB1SAEU01NK</v>
      </c>
      <c r="C13" s="34" t="str">
        <f>C12</f>
        <v>test1</v>
      </c>
      <c r="D13" s="26" t="s">
        <v>83</v>
      </c>
      <c r="E13" s="34" t="s">
        <v>36</v>
      </c>
      <c r="F13" s="21" t="s">
        <v>36</v>
      </c>
      <c r="G13" s="21" t="s">
        <v>36</v>
      </c>
      <c r="H13" s="21" t="s">
        <v>36</v>
      </c>
      <c r="I13" s="21" t="s">
        <v>36</v>
      </c>
      <c r="J13" s="21" t="s">
        <v>36</v>
      </c>
      <c r="K13" s="21" t="s">
        <v>36</v>
      </c>
      <c r="L13" s="21" t="s">
        <v>36</v>
      </c>
      <c r="M13" s="21" t="s">
        <v>36</v>
      </c>
      <c r="N13" s="21" t="s">
        <v>36</v>
      </c>
      <c r="O13" s="34">
        <v>1304</v>
      </c>
      <c r="P13" s="21" t="s">
        <v>621</v>
      </c>
      <c r="Q13" s="21" t="s">
        <v>36</v>
      </c>
    </row>
    <row r="14" spans="1:17">
      <c r="B14" s="25" t="str">
        <f>Node!B9</f>
        <v>INVIHR11AMB1SAEU01NK</v>
      </c>
      <c r="C14" s="34" t="str">
        <f t="shared" ref="C14:C18" si="0">C12</f>
        <v>test1</v>
      </c>
      <c r="D14" s="26" t="s">
        <v>83</v>
      </c>
      <c r="E14" s="34" t="s">
        <v>36</v>
      </c>
      <c r="F14" s="21" t="s">
        <v>36</v>
      </c>
      <c r="G14" s="21" t="s">
        <v>36</v>
      </c>
      <c r="H14" s="21" t="s">
        <v>36</v>
      </c>
      <c r="I14" s="21" t="s">
        <v>36</v>
      </c>
      <c r="J14" s="21" t="s">
        <v>36</v>
      </c>
      <c r="K14" s="21" t="s">
        <v>36</v>
      </c>
      <c r="L14" s="21" t="s">
        <v>36</v>
      </c>
      <c r="M14" s="21" t="s">
        <v>36</v>
      </c>
      <c r="N14" s="21" t="s">
        <v>36</v>
      </c>
      <c r="O14" s="34">
        <v>1305</v>
      </c>
      <c r="P14" s="21" t="s">
        <v>1428</v>
      </c>
      <c r="Q14" s="21" t="s">
        <v>36</v>
      </c>
    </row>
    <row r="15" spans="1:17">
      <c r="B15" s="25" t="str">
        <f>Node!B9</f>
        <v>INVIHR11AMB1SAEU01NK</v>
      </c>
      <c r="C15" s="34" t="str">
        <f t="shared" si="0"/>
        <v>test1</v>
      </c>
      <c r="D15" s="26" t="s">
        <v>83</v>
      </c>
      <c r="E15" s="34" t="s">
        <v>36</v>
      </c>
      <c r="F15" s="21" t="s">
        <v>36</v>
      </c>
      <c r="G15" s="21" t="s">
        <v>36</v>
      </c>
      <c r="H15" s="21" t="s">
        <v>36</v>
      </c>
      <c r="I15" s="21" t="s">
        <v>36</v>
      </c>
      <c r="J15" s="21" t="s">
        <v>36</v>
      </c>
      <c r="K15" s="21" t="s">
        <v>36</v>
      </c>
      <c r="L15" s="21" t="s">
        <v>36</v>
      </c>
      <c r="M15" s="21" t="s">
        <v>36</v>
      </c>
      <c r="N15" s="21" t="s">
        <v>36</v>
      </c>
      <c r="O15" s="34">
        <v>1306</v>
      </c>
      <c r="P15" s="21" t="s">
        <v>1102</v>
      </c>
      <c r="Q15" s="21" t="s">
        <v>36</v>
      </c>
    </row>
    <row r="16" spans="1:17">
      <c r="B16" s="25" t="str">
        <f>Node!B9</f>
        <v>INVIHR11AMB1SAEU01NK</v>
      </c>
      <c r="C16" s="34" t="str">
        <f t="shared" si="0"/>
        <v>test1</v>
      </c>
      <c r="D16" s="26" t="s">
        <v>83</v>
      </c>
      <c r="E16" s="34" t="s">
        <v>36</v>
      </c>
      <c r="F16" s="21" t="s">
        <v>36</v>
      </c>
      <c r="G16" s="21" t="s">
        <v>36</v>
      </c>
      <c r="H16" s="21" t="s">
        <v>36</v>
      </c>
      <c r="I16" s="21" t="s">
        <v>36</v>
      </c>
      <c r="J16" s="21" t="s">
        <v>36</v>
      </c>
      <c r="K16" s="21" t="s">
        <v>36</v>
      </c>
      <c r="L16" s="21" t="s">
        <v>36</v>
      </c>
      <c r="M16" s="21" t="s">
        <v>36</v>
      </c>
      <c r="N16" s="21" t="s">
        <v>36</v>
      </c>
      <c r="O16" s="34">
        <v>1307</v>
      </c>
      <c r="P16" s="21" t="s">
        <v>1103</v>
      </c>
      <c r="Q16" s="21" t="s">
        <v>36</v>
      </c>
    </row>
    <row r="17" spans="2:17">
      <c r="B17" s="25" t="str">
        <f>Node!B9</f>
        <v>INVIHR11AMB1SAEU01NK</v>
      </c>
      <c r="C17" s="34" t="str">
        <f t="shared" si="0"/>
        <v>test1</v>
      </c>
      <c r="D17" s="26" t="s">
        <v>83</v>
      </c>
      <c r="E17" s="34" t="s">
        <v>36</v>
      </c>
      <c r="F17" s="21" t="s">
        <v>36</v>
      </c>
      <c r="G17" s="21" t="s">
        <v>36</v>
      </c>
      <c r="H17" s="21" t="s">
        <v>36</v>
      </c>
      <c r="I17" s="21" t="s">
        <v>36</v>
      </c>
      <c r="J17" s="21" t="s">
        <v>36</v>
      </c>
      <c r="K17" s="21" t="s">
        <v>36</v>
      </c>
      <c r="L17" s="21" t="s">
        <v>36</v>
      </c>
      <c r="M17" s="21" t="s">
        <v>36</v>
      </c>
      <c r="N17" s="21" t="s">
        <v>36</v>
      </c>
      <c r="O17" s="34">
        <v>1308</v>
      </c>
      <c r="P17" s="21" t="s">
        <v>1105</v>
      </c>
      <c r="Q17" s="21" t="s">
        <v>36</v>
      </c>
    </row>
    <row r="18" spans="2:17">
      <c r="B18" s="25" t="str">
        <f>Node!B9</f>
        <v>INVIHR11AMB1SAEU01NK</v>
      </c>
      <c r="C18" s="34" t="str">
        <f t="shared" si="0"/>
        <v>test1</v>
      </c>
      <c r="D18" s="26" t="s">
        <v>83</v>
      </c>
      <c r="E18" s="34" t="s">
        <v>36</v>
      </c>
      <c r="F18" s="21" t="s">
        <v>36</v>
      </c>
      <c r="G18" s="21" t="s">
        <v>36</v>
      </c>
      <c r="H18" s="21" t="s">
        <v>36</v>
      </c>
      <c r="I18" s="21" t="s">
        <v>36</v>
      </c>
      <c r="J18" s="21" t="s">
        <v>36</v>
      </c>
      <c r="K18" s="21" t="s">
        <v>36</v>
      </c>
      <c r="L18" s="21" t="s">
        <v>36</v>
      </c>
      <c r="M18" s="21" t="s">
        <v>36</v>
      </c>
      <c r="N18" s="21" t="s">
        <v>36</v>
      </c>
      <c r="O18" s="34">
        <v>1309</v>
      </c>
      <c r="P18" s="21" t="s">
        <v>1104</v>
      </c>
      <c r="Q18" s="21" t="s">
        <v>36</v>
      </c>
    </row>
    <row r="19" spans="2:17">
      <c r="B19" s="25" t="str">
        <f>Node!B9</f>
        <v>INVIHR11AMB1SAEU01NK</v>
      </c>
      <c r="C19" s="46" t="str">
        <f>C9</f>
        <v>test1.mnc012.mcc404.gprs</v>
      </c>
      <c r="D19" s="26" t="s">
        <v>83</v>
      </c>
      <c r="E19" s="34" t="s">
        <v>36</v>
      </c>
      <c r="F19" s="21" t="s">
        <v>36</v>
      </c>
      <c r="G19" s="21" t="s">
        <v>36</v>
      </c>
      <c r="H19" s="21" t="s">
        <v>36</v>
      </c>
      <c r="I19" s="21" t="s">
        <v>36</v>
      </c>
      <c r="J19" s="21" t="s">
        <v>36</v>
      </c>
      <c r="K19" s="21" t="s">
        <v>36</v>
      </c>
      <c r="L19" s="21" t="s">
        <v>36</v>
      </c>
      <c r="M19" s="21" t="s">
        <v>36</v>
      </c>
      <c r="N19" s="21" t="s">
        <v>36</v>
      </c>
      <c r="O19" s="34">
        <v>1301</v>
      </c>
      <c r="P19" s="21" t="s">
        <v>133</v>
      </c>
      <c r="Q19" s="21" t="s">
        <v>36</v>
      </c>
    </row>
    <row r="20" spans="2:17">
      <c r="B20" s="25" t="str">
        <f>Node!B9</f>
        <v>INVIHR11AMB1SAEU01NK</v>
      </c>
      <c r="C20" s="46" t="str">
        <f>C19</f>
        <v>test1.mnc012.mcc404.gprs</v>
      </c>
      <c r="D20" s="26" t="s">
        <v>83</v>
      </c>
      <c r="E20" s="34" t="s">
        <v>36</v>
      </c>
      <c r="F20" s="21" t="s">
        <v>36</v>
      </c>
      <c r="G20" s="21" t="s">
        <v>36</v>
      </c>
      <c r="H20" s="21" t="s">
        <v>36</v>
      </c>
      <c r="I20" s="21" t="s">
        <v>36</v>
      </c>
      <c r="J20" s="21" t="s">
        <v>36</v>
      </c>
      <c r="K20" s="21" t="s">
        <v>36</v>
      </c>
      <c r="L20" s="21" t="s">
        <v>36</v>
      </c>
      <c r="M20" s="21" t="s">
        <v>36</v>
      </c>
      <c r="N20" s="21" t="s">
        <v>36</v>
      </c>
      <c r="O20" s="34">
        <v>1302</v>
      </c>
      <c r="P20" s="21" t="s">
        <v>474</v>
      </c>
      <c r="Q20" s="21" t="s">
        <v>36</v>
      </c>
    </row>
    <row r="21" spans="2:17">
      <c r="B21" s="25" t="str">
        <f>Node!B9</f>
        <v>INVIHR11AMB1SAEU01NK</v>
      </c>
      <c r="C21" s="46" t="str">
        <f t="shared" ref="C21:C27" si="1">C20</f>
        <v>test1.mnc012.mcc404.gprs</v>
      </c>
      <c r="D21" s="26" t="s">
        <v>83</v>
      </c>
      <c r="E21" s="34" t="s">
        <v>36</v>
      </c>
      <c r="F21" s="21" t="s">
        <v>36</v>
      </c>
      <c r="G21" s="21" t="s">
        <v>36</v>
      </c>
      <c r="H21" s="21" t="s">
        <v>36</v>
      </c>
      <c r="I21" s="21" t="s">
        <v>36</v>
      </c>
      <c r="J21" s="21" t="s">
        <v>36</v>
      </c>
      <c r="K21" s="21" t="s">
        <v>36</v>
      </c>
      <c r="L21" s="21" t="s">
        <v>36</v>
      </c>
      <c r="M21" s="21" t="s">
        <v>36</v>
      </c>
      <c r="N21" s="21" t="s">
        <v>36</v>
      </c>
      <c r="O21" s="34">
        <v>1303</v>
      </c>
      <c r="P21" s="21" t="s">
        <v>620</v>
      </c>
      <c r="Q21" s="21" t="s">
        <v>36</v>
      </c>
    </row>
    <row r="22" spans="2:17">
      <c r="B22" s="25" t="str">
        <f>Node!B9</f>
        <v>INVIHR11AMB1SAEU01NK</v>
      </c>
      <c r="C22" s="46" t="str">
        <f t="shared" si="1"/>
        <v>test1.mnc012.mcc404.gprs</v>
      </c>
      <c r="D22" s="26" t="s">
        <v>83</v>
      </c>
      <c r="E22" s="34" t="s">
        <v>36</v>
      </c>
      <c r="F22" s="21" t="s">
        <v>36</v>
      </c>
      <c r="G22" s="21" t="s">
        <v>36</v>
      </c>
      <c r="H22" s="21" t="s">
        <v>36</v>
      </c>
      <c r="I22" s="21" t="s">
        <v>36</v>
      </c>
      <c r="J22" s="21" t="s">
        <v>36</v>
      </c>
      <c r="K22" s="21" t="s">
        <v>36</v>
      </c>
      <c r="L22" s="21" t="s">
        <v>36</v>
      </c>
      <c r="M22" s="21" t="s">
        <v>36</v>
      </c>
      <c r="N22" s="21" t="s">
        <v>36</v>
      </c>
      <c r="O22" s="34">
        <v>1304</v>
      </c>
      <c r="P22" s="21" t="s">
        <v>621</v>
      </c>
      <c r="Q22" s="21" t="s">
        <v>36</v>
      </c>
    </row>
    <row r="23" spans="2:17">
      <c r="B23" s="25" t="str">
        <f>Node!B9</f>
        <v>INVIHR11AMB1SAEU01NK</v>
      </c>
      <c r="C23" s="46" t="str">
        <f t="shared" si="1"/>
        <v>test1.mnc012.mcc404.gprs</v>
      </c>
      <c r="D23" s="26" t="s">
        <v>83</v>
      </c>
      <c r="E23" s="34" t="s">
        <v>36</v>
      </c>
      <c r="F23" s="21" t="s">
        <v>36</v>
      </c>
      <c r="G23" s="21" t="s">
        <v>36</v>
      </c>
      <c r="H23" s="21" t="s">
        <v>36</v>
      </c>
      <c r="I23" s="21" t="s">
        <v>36</v>
      </c>
      <c r="J23" s="21" t="s">
        <v>36</v>
      </c>
      <c r="K23" s="21" t="s">
        <v>36</v>
      </c>
      <c r="L23" s="21" t="s">
        <v>36</v>
      </c>
      <c r="M23" s="21" t="s">
        <v>36</v>
      </c>
      <c r="N23" s="21" t="s">
        <v>36</v>
      </c>
      <c r="O23" s="34">
        <v>1305</v>
      </c>
      <c r="P23" s="21" t="s">
        <v>1428</v>
      </c>
      <c r="Q23" s="21" t="s">
        <v>36</v>
      </c>
    </row>
    <row r="24" spans="2:17">
      <c r="B24" s="25" t="str">
        <f>Node!B9</f>
        <v>INVIHR11AMB1SAEU01NK</v>
      </c>
      <c r="C24" s="46" t="str">
        <f t="shared" si="1"/>
        <v>test1.mnc012.mcc404.gprs</v>
      </c>
      <c r="D24" s="26" t="s">
        <v>83</v>
      </c>
      <c r="E24" s="34" t="s">
        <v>36</v>
      </c>
      <c r="F24" s="21" t="s">
        <v>36</v>
      </c>
      <c r="G24" s="21" t="s">
        <v>36</v>
      </c>
      <c r="H24" s="21" t="s">
        <v>36</v>
      </c>
      <c r="I24" s="21" t="s">
        <v>36</v>
      </c>
      <c r="J24" s="21" t="s">
        <v>36</v>
      </c>
      <c r="K24" s="21" t="s">
        <v>36</v>
      </c>
      <c r="L24" s="21" t="s">
        <v>36</v>
      </c>
      <c r="M24" s="21" t="s">
        <v>36</v>
      </c>
      <c r="N24" s="21" t="s">
        <v>36</v>
      </c>
      <c r="O24" s="34">
        <v>1306</v>
      </c>
      <c r="P24" s="21" t="s">
        <v>1102</v>
      </c>
      <c r="Q24" s="21" t="s">
        <v>36</v>
      </c>
    </row>
    <row r="25" spans="2:17">
      <c r="B25" s="25" t="str">
        <f>Node!B9</f>
        <v>INVIHR11AMB1SAEU01NK</v>
      </c>
      <c r="C25" s="46" t="str">
        <f t="shared" si="1"/>
        <v>test1.mnc012.mcc404.gprs</v>
      </c>
      <c r="D25" s="26" t="s">
        <v>83</v>
      </c>
      <c r="E25" s="34" t="s">
        <v>36</v>
      </c>
      <c r="F25" s="21" t="s">
        <v>36</v>
      </c>
      <c r="G25" s="21" t="s">
        <v>36</v>
      </c>
      <c r="H25" s="21" t="s">
        <v>36</v>
      </c>
      <c r="I25" s="21" t="s">
        <v>36</v>
      </c>
      <c r="J25" s="21" t="s">
        <v>36</v>
      </c>
      <c r="K25" s="21" t="s">
        <v>36</v>
      </c>
      <c r="L25" s="21" t="s">
        <v>36</v>
      </c>
      <c r="M25" s="21" t="s">
        <v>36</v>
      </c>
      <c r="N25" s="21" t="s">
        <v>36</v>
      </c>
      <c r="O25" s="34">
        <v>1307</v>
      </c>
      <c r="P25" s="21" t="s">
        <v>1103</v>
      </c>
      <c r="Q25" s="21" t="s">
        <v>36</v>
      </c>
    </row>
    <row r="26" spans="2:17">
      <c r="B26" s="25" t="str">
        <f>Node!B9</f>
        <v>INVIHR11AMB1SAEU01NK</v>
      </c>
      <c r="C26" s="46" t="str">
        <f t="shared" si="1"/>
        <v>test1.mnc012.mcc404.gprs</v>
      </c>
      <c r="D26" s="26" t="s">
        <v>83</v>
      </c>
      <c r="E26" s="34" t="s">
        <v>36</v>
      </c>
      <c r="F26" s="21" t="s">
        <v>36</v>
      </c>
      <c r="G26" s="21" t="s">
        <v>36</v>
      </c>
      <c r="H26" s="21" t="s">
        <v>36</v>
      </c>
      <c r="I26" s="21" t="s">
        <v>36</v>
      </c>
      <c r="J26" s="21" t="s">
        <v>36</v>
      </c>
      <c r="K26" s="21" t="s">
        <v>36</v>
      </c>
      <c r="L26" s="21" t="s">
        <v>36</v>
      </c>
      <c r="M26" s="21" t="s">
        <v>36</v>
      </c>
      <c r="N26" s="21" t="s">
        <v>36</v>
      </c>
      <c r="O26" s="34">
        <v>1308</v>
      </c>
      <c r="P26" s="21" t="s">
        <v>1105</v>
      </c>
      <c r="Q26" s="21" t="s">
        <v>36</v>
      </c>
    </row>
    <row r="27" spans="2:17">
      <c r="B27" s="25" t="str">
        <f>Node!B9</f>
        <v>INVIHR11AMB1SAEU01NK</v>
      </c>
      <c r="C27" s="46" t="str">
        <f t="shared" si="1"/>
        <v>test1.mnc012.mcc404.gprs</v>
      </c>
      <c r="D27" s="26" t="s">
        <v>83</v>
      </c>
      <c r="E27" s="34" t="s">
        <v>36</v>
      </c>
      <c r="F27" s="21" t="s">
        <v>36</v>
      </c>
      <c r="G27" s="21" t="s">
        <v>36</v>
      </c>
      <c r="H27" s="21" t="s">
        <v>36</v>
      </c>
      <c r="I27" s="21" t="s">
        <v>36</v>
      </c>
      <c r="J27" s="21" t="s">
        <v>36</v>
      </c>
      <c r="K27" s="21" t="s">
        <v>36</v>
      </c>
      <c r="L27" s="21" t="s">
        <v>36</v>
      </c>
      <c r="M27" s="21" t="s">
        <v>36</v>
      </c>
      <c r="N27" s="21" t="s">
        <v>36</v>
      </c>
      <c r="O27" s="34">
        <v>1309</v>
      </c>
      <c r="P27" s="21" t="s">
        <v>1104</v>
      </c>
      <c r="Q27" s="21" t="s">
        <v>36</v>
      </c>
    </row>
  </sheetData>
  <mergeCells count="3">
    <mergeCell ref="F6:N6"/>
    <mergeCell ref="O6:P6"/>
    <mergeCell ref="B1:B3"/>
  </mergeCells>
  <conditionalFormatting sqref="G8:J9">
    <cfRule type="cellIs" dxfId="17" priority="13" operator="equal">
      <formula>"nokia.com"</formula>
    </cfRule>
    <cfRule type="cellIs" dxfId="16" priority="14" operator="between">
      <formula>"99.99.99.0"</formula>
      <formula>"99.99.99.255"</formula>
    </cfRule>
  </conditionalFormatting>
  <conditionalFormatting sqref="G8:H11 G19:H20">
    <cfRule type="cellIs" dxfId="15" priority="12" operator="between">
      <formula>"8.8.4.4"</formula>
      <formula>"8.8.8.8"</formula>
    </cfRule>
  </conditionalFormatting>
  <conditionalFormatting sqref="I8:J11 I19:J20">
    <cfRule type="cellIs" dxfId="14" priority="11" operator="between">
      <formula>"2001:4860:4860::8844"</formula>
      <formula>"2001:4860:4860::8888"</formula>
    </cfRule>
  </conditionalFormatting>
  <conditionalFormatting sqref="G12:H13">
    <cfRule type="cellIs" dxfId="13" priority="10" operator="between">
      <formula>"8.8.4.4"</formula>
      <formula>"8.8.8.8"</formula>
    </cfRule>
  </conditionalFormatting>
  <conditionalFormatting sqref="I12:J13">
    <cfRule type="cellIs" dxfId="12" priority="9" operator="between">
      <formula>"2001:4860:4860::8844"</formula>
      <formula>"2001:4860:4860::8888"</formula>
    </cfRule>
  </conditionalFormatting>
  <conditionalFormatting sqref="G14:H15">
    <cfRule type="cellIs" dxfId="11" priority="8" operator="between">
      <formula>"8.8.4.4"</formula>
      <formula>"8.8.8.8"</formula>
    </cfRule>
  </conditionalFormatting>
  <conditionalFormatting sqref="I14:J15">
    <cfRule type="cellIs" dxfId="10" priority="7" operator="between">
      <formula>"2001:4860:4860::8844"</formula>
      <formula>"2001:4860:4860::8888"</formula>
    </cfRule>
  </conditionalFormatting>
  <conditionalFormatting sqref="G16:H16">
    <cfRule type="cellIs" dxfId="9" priority="6" operator="between">
      <formula>"8.8.4.4"</formula>
      <formula>"8.8.8.8"</formula>
    </cfRule>
  </conditionalFormatting>
  <conditionalFormatting sqref="I16:J16">
    <cfRule type="cellIs" dxfId="8" priority="5" operator="between">
      <formula>"2001:4860:4860::8844"</formula>
      <formula>"2001:4860:4860::8888"</formula>
    </cfRule>
  </conditionalFormatting>
  <conditionalFormatting sqref="G17:H18">
    <cfRule type="cellIs" dxfId="7" priority="4" operator="between">
      <formula>"8.8.4.4"</formula>
      <formula>"8.8.8.8"</formula>
    </cfRule>
  </conditionalFormatting>
  <conditionalFormatting sqref="I17:J18">
    <cfRule type="cellIs" dxfId="6" priority="3" operator="between">
      <formula>"2001:4860:4860::8844"</formula>
      <formula>"2001:4860:4860::8888"</formula>
    </cfRule>
  </conditionalFormatting>
  <conditionalFormatting sqref="G21:H27">
    <cfRule type="cellIs" dxfId="5" priority="2" operator="between">
      <formula>"8.8.4.4"</formula>
      <formula>"8.8.8.8"</formula>
    </cfRule>
  </conditionalFormatting>
  <conditionalFormatting sqref="I21:J27">
    <cfRule type="cellIs" dxfId="4" priority="1" operator="between">
      <formula>"2001:4860:4860::8844"</formula>
      <formula>"2001:4860:4860::8888"</formula>
    </cfRule>
  </conditionalFormatting>
  <dataValidations count="2">
    <dataValidation type="list" allowBlank="1" showInputMessage="1" showErrorMessage="1" sqref="K8:K27" xr:uid="{EEEBDEC8-EE20-4600-96C9-2DCB02BC13C8}">
      <formula1>$K$1:$K$3</formula1>
    </dataValidation>
    <dataValidation type="list" allowBlank="1" showInputMessage="1" showErrorMessage="1" sqref="D8:D27" xr:uid="{3B8FE450-4EAC-4720-8546-75EDC34A2CCC}">
      <formula1>$D$1:$D$2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New">
                <anchor moveWithCells="1">
                  <from>
                    <xdr:col>2</xdr:col>
                    <xdr:colOff>1356360</xdr:colOff>
                    <xdr:row>3</xdr:row>
                    <xdr:rowOff>175260</xdr:rowOff>
                  </from>
                  <to>
                    <xdr:col>3</xdr:col>
                    <xdr:colOff>396240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5B02E-5A57-4FB2-A3DB-032D1053266A}">
  <sheetPr codeName="Sheet19"/>
  <dimension ref="A1:I28"/>
  <sheetViews>
    <sheetView topLeftCell="A6" workbookViewId="0">
      <selection activeCell="G10" sqref="G10"/>
    </sheetView>
  </sheetViews>
  <sheetFormatPr defaultRowHeight="14.4"/>
  <cols>
    <col min="1" max="1" width="3" bestFit="1" customWidth="1"/>
    <col min="2" max="2" width="23.44140625" bestFit="1" customWidth="1"/>
    <col min="3" max="3" width="9.6640625" bestFit="1" customWidth="1"/>
    <col min="4" max="4" width="8.5546875" bestFit="1" customWidth="1"/>
    <col min="5" max="5" width="7.77734375" bestFit="1" customWidth="1"/>
    <col min="6" max="6" width="13.33203125" bestFit="1" customWidth="1"/>
    <col min="7" max="7" width="29.5546875" bestFit="1" customWidth="1"/>
    <col min="8" max="8" width="13.88671875" bestFit="1" customWidth="1"/>
    <col min="9" max="9" width="15" bestFit="1" customWidth="1"/>
  </cols>
  <sheetData>
    <row r="1" spans="1:9">
      <c r="A1" s="58" t="s">
        <v>6</v>
      </c>
      <c r="B1" s="344" t="s">
        <v>378</v>
      </c>
      <c r="C1" s="221" t="s">
        <v>478</v>
      </c>
      <c r="D1" s="221" t="s">
        <v>546</v>
      </c>
      <c r="E1" s="221" t="s">
        <v>536</v>
      </c>
      <c r="F1" s="221" t="s">
        <v>536</v>
      </c>
      <c r="G1" s="221" t="s">
        <v>536</v>
      </c>
      <c r="H1" s="221" t="s">
        <v>536</v>
      </c>
      <c r="I1" s="221" t="s">
        <v>536</v>
      </c>
    </row>
    <row r="2" spans="1:9">
      <c r="A2" s="58" t="s">
        <v>6</v>
      </c>
      <c r="B2" s="344"/>
      <c r="C2" s="221" t="s">
        <v>466</v>
      </c>
      <c r="D2" s="221" t="s">
        <v>536</v>
      </c>
      <c r="E2" s="51"/>
      <c r="F2" s="221" t="s">
        <v>36</v>
      </c>
      <c r="G2" s="51"/>
      <c r="H2" s="221" t="s">
        <v>36</v>
      </c>
      <c r="I2" s="221" t="s">
        <v>36</v>
      </c>
    </row>
    <row r="3" spans="1:9">
      <c r="A3" s="58" t="s">
        <v>6</v>
      </c>
      <c r="B3" s="344"/>
      <c r="C3" s="221" t="s">
        <v>576</v>
      </c>
      <c r="D3" s="50"/>
      <c r="E3" s="56"/>
      <c r="F3" s="50"/>
      <c r="G3" s="51"/>
      <c r="H3" s="50"/>
      <c r="I3" s="56"/>
    </row>
    <row r="4" spans="1:9">
      <c r="A4" s="5" t="s">
        <v>6</v>
      </c>
      <c r="B4" s="7" t="s">
        <v>14</v>
      </c>
      <c r="C4" s="20"/>
    </row>
    <row r="5" spans="1:9">
      <c r="A5" s="5" t="s">
        <v>6</v>
      </c>
      <c r="B5" s="128" t="s">
        <v>15</v>
      </c>
      <c r="C5" s="20"/>
    </row>
    <row r="6" spans="1:9">
      <c r="A6" s="5" t="s">
        <v>6</v>
      </c>
      <c r="B6" s="8" t="s">
        <v>16</v>
      </c>
      <c r="C6" s="20"/>
    </row>
    <row r="7" spans="1:9">
      <c r="B7" s="32" t="s">
        <v>17</v>
      </c>
      <c r="C7" s="32" t="s">
        <v>575</v>
      </c>
      <c r="D7" s="32" t="s">
        <v>97</v>
      </c>
      <c r="E7" s="32" t="s">
        <v>544</v>
      </c>
      <c r="F7" s="32" t="s">
        <v>545</v>
      </c>
      <c r="G7" s="32" t="s">
        <v>543</v>
      </c>
      <c r="H7" s="35" t="s">
        <v>561</v>
      </c>
      <c r="I7" s="35" t="s">
        <v>925</v>
      </c>
    </row>
    <row r="8" spans="1:9">
      <c r="B8" s="137" t="str">
        <f>Node!B8</f>
        <v>INVIHR11AMB1SAEC01NK</v>
      </c>
      <c r="C8" s="143" t="s">
        <v>478</v>
      </c>
      <c r="D8" s="141" t="s">
        <v>546</v>
      </c>
      <c r="E8" s="130">
        <v>100</v>
      </c>
      <c r="F8" s="130" t="s">
        <v>399</v>
      </c>
      <c r="G8" s="130" t="s">
        <v>554</v>
      </c>
      <c r="H8" s="130" t="s">
        <v>562</v>
      </c>
      <c r="I8" s="270" t="s">
        <v>36</v>
      </c>
    </row>
    <row r="9" spans="1:9">
      <c r="B9" s="23" t="str">
        <f>Node!B8</f>
        <v>INVIHR11AMB1SAEC01NK</v>
      </c>
      <c r="C9" s="143" t="s">
        <v>478</v>
      </c>
      <c r="D9" s="130" t="s">
        <v>547</v>
      </c>
      <c r="E9" s="130">
        <v>100</v>
      </c>
      <c r="F9" s="130" t="s">
        <v>399</v>
      </c>
      <c r="G9" s="130" t="s">
        <v>554</v>
      </c>
      <c r="H9" s="130" t="s">
        <v>565</v>
      </c>
      <c r="I9" s="270" t="s">
        <v>36</v>
      </c>
    </row>
    <row r="10" spans="1:9">
      <c r="B10" s="23" t="str">
        <f>Node!B8</f>
        <v>INVIHR11AMB1SAEC01NK</v>
      </c>
      <c r="C10" s="143" t="s">
        <v>478</v>
      </c>
      <c r="D10" s="130" t="s">
        <v>548</v>
      </c>
      <c r="E10" s="130">
        <v>100</v>
      </c>
      <c r="F10" s="130" t="s">
        <v>399</v>
      </c>
      <c r="G10" s="130" t="s">
        <v>553</v>
      </c>
      <c r="H10" s="130" t="s">
        <v>563</v>
      </c>
      <c r="I10" s="270" t="s">
        <v>926</v>
      </c>
    </row>
    <row r="11" spans="1:9">
      <c r="B11" s="23" t="str">
        <f>Node!B8</f>
        <v>INVIHR11AMB1SAEC01NK</v>
      </c>
      <c r="C11" s="143" t="s">
        <v>478</v>
      </c>
      <c r="D11" s="130" t="s">
        <v>548</v>
      </c>
      <c r="E11" s="130">
        <v>100</v>
      </c>
      <c r="F11" s="130" t="s">
        <v>571</v>
      </c>
      <c r="G11" s="130" t="s">
        <v>554</v>
      </c>
      <c r="H11" s="130" t="s">
        <v>572</v>
      </c>
      <c r="I11" s="270" t="s">
        <v>36</v>
      </c>
    </row>
    <row r="12" spans="1:9">
      <c r="B12" s="23" t="str">
        <f>$B$8</f>
        <v>INVIHR11AMB1SAEC01NK</v>
      </c>
      <c r="C12" s="143" t="s">
        <v>478</v>
      </c>
      <c r="D12" s="130" t="s">
        <v>549</v>
      </c>
      <c r="E12" s="130">
        <v>100</v>
      </c>
      <c r="F12" s="130" t="s">
        <v>399</v>
      </c>
      <c r="G12" s="130" t="s">
        <v>553</v>
      </c>
      <c r="H12" s="130" t="s">
        <v>564</v>
      </c>
      <c r="I12" s="270" t="s">
        <v>926</v>
      </c>
    </row>
    <row r="13" spans="1:9">
      <c r="B13" s="23" t="str">
        <f>Node!B8</f>
        <v>INVIHR11AMB1SAEC01NK</v>
      </c>
      <c r="C13" s="143" t="s">
        <v>478</v>
      </c>
      <c r="D13" s="130" t="s">
        <v>549</v>
      </c>
      <c r="E13" s="130">
        <v>100</v>
      </c>
      <c r="F13" s="130" t="s">
        <v>571</v>
      </c>
      <c r="G13" s="130" t="s">
        <v>554</v>
      </c>
      <c r="H13" s="130" t="s">
        <v>573</v>
      </c>
      <c r="I13" s="270" t="s">
        <v>36</v>
      </c>
    </row>
    <row r="14" spans="1:9">
      <c r="B14" s="23" t="str">
        <f>Node!B8</f>
        <v>INVIHR11AMB1SAEC01NK</v>
      </c>
      <c r="C14" s="143" t="s">
        <v>478</v>
      </c>
      <c r="D14" s="130" t="s">
        <v>550</v>
      </c>
      <c r="E14" s="130">
        <v>100</v>
      </c>
      <c r="F14" s="130" t="s">
        <v>399</v>
      </c>
      <c r="G14" s="130" t="s">
        <v>552</v>
      </c>
      <c r="H14" s="130" t="s">
        <v>566</v>
      </c>
      <c r="I14" s="270" t="s">
        <v>36</v>
      </c>
    </row>
    <row r="15" spans="1:9">
      <c r="B15" s="23" t="str">
        <f>Node!B8</f>
        <v>INVIHR11AMB1SAEC01NK</v>
      </c>
      <c r="C15" s="143" t="s">
        <v>478</v>
      </c>
      <c r="D15" s="130" t="s">
        <v>567</v>
      </c>
      <c r="E15" s="130">
        <v>100</v>
      </c>
      <c r="F15" s="130" t="s">
        <v>399</v>
      </c>
      <c r="G15" s="130" t="s">
        <v>552</v>
      </c>
      <c r="H15" s="130" t="s">
        <v>568</v>
      </c>
      <c r="I15" s="270" t="s">
        <v>36</v>
      </c>
    </row>
    <row r="16" spans="1:9">
      <c r="B16" s="23" t="str">
        <f>Node!B8</f>
        <v>INVIHR11AMB1SAEC01NK</v>
      </c>
      <c r="C16" s="143" t="s">
        <v>478</v>
      </c>
      <c r="D16" s="130" t="s">
        <v>569</v>
      </c>
      <c r="E16" s="130">
        <v>100</v>
      </c>
      <c r="F16" s="130" t="s">
        <v>399</v>
      </c>
      <c r="G16" s="130" t="s">
        <v>555</v>
      </c>
      <c r="H16" s="130" t="s">
        <v>36</v>
      </c>
      <c r="I16" s="270" t="s">
        <v>928</v>
      </c>
    </row>
    <row r="17" spans="2:9">
      <c r="B17" s="23" t="str">
        <f>Node!B8</f>
        <v>INVIHR11AMB1SAEC01NK</v>
      </c>
      <c r="C17" s="143" t="s">
        <v>478</v>
      </c>
      <c r="D17" s="130" t="s">
        <v>385</v>
      </c>
      <c r="E17" s="130">
        <v>10</v>
      </c>
      <c r="F17" s="130" t="s">
        <v>36</v>
      </c>
      <c r="G17" s="130" t="s">
        <v>112</v>
      </c>
      <c r="H17" s="130" t="s">
        <v>36</v>
      </c>
      <c r="I17" s="270" t="s">
        <v>929</v>
      </c>
    </row>
    <row r="18" spans="2:9">
      <c r="B18" s="23" t="str">
        <f>Node!B8</f>
        <v>INVIHR11AMB1SAEC01NK</v>
      </c>
      <c r="C18" s="143" t="s">
        <v>478</v>
      </c>
      <c r="D18" s="130" t="s">
        <v>386</v>
      </c>
      <c r="E18" s="130">
        <v>11</v>
      </c>
      <c r="F18" s="130" t="s">
        <v>36</v>
      </c>
      <c r="G18" s="130" t="s">
        <v>110</v>
      </c>
      <c r="H18" s="130" t="s">
        <v>36</v>
      </c>
      <c r="I18" s="270" t="s">
        <v>36</v>
      </c>
    </row>
    <row r="19" spans="2:9">
      <c r="B19" s="23" t="str">
        <f>Node!B8</f>
        <v>INVIHR11AMB1SAEC01NK</v>
      </c>
      <c r="C19" s="143" t="s">
        <v>478</v>
      </c>
      <c r="D19" s="130" t="s">
        <v>570</v>
      </c>
      <c r="E19" s="130">
        <v>11</v>
      </c>
      <c r="F19" s="130" t="s">
        <v>36</v>
      </c>
      <c r="G19" s="130" t="s">
        <v>167</v>
      </c>
      <c r="H19" s="130" t="s">
        <v>36</v>
      </c>
      <c r="I19" s="270" t="s">
        <v>36</v>
      </c>
    </row>
    <row r="20" spans="2:9">
      <c r="B20" s="292" t="str">
        <f>Node!B9</f>
        <v>INVIHR11AMB1SAEU01NK</v>
      </c>
      <c r="C20" s="143" t="s">
        <v>466</v>
      </c>
      <c r="D20" s="141" t="s">
        <v>546</v>
      </c>
      <c r="E20" s="130">
        <v>100</v>
      </c>
      <c r="F20" s="130" t="s">
        <v>399</v>
      </c>
      <c r="G20" s="130" t="s">
        <v>560</v>
      </c>
      <c r="H20" s="130" t="s">
        <v>562</v>
      </c>
      <c r="I20" s="270" t="s">
        <v>36</v>
      </c>
    </row>
    <row r="21" spans="2:9">
      <c r="B21" s="292" t="str">
        <f>Node!B9</f>
        <v>INVIHR11AMB1SAEU01NK</v>
      </c>
      <c r="C21" s="143" t="s">
        <v>466</v>
      </c>
      <c r="D21" s="130" t="s">
        <v>547</v>
      </c>
      <c r="E21" s="130">
        <v>100</v>
      </c>
      <c r="F21" s="130" t="s">
        <v>399</v>
      </c>
      <c r="G21" s="130" t="s">
        <v>560</v>
      </c>
      <c r="H21" s="130" t="s">
        <v>565</v>
      </c>
      <c r="I21" s="270" t="s">
        <v>36</v>
      </c>
    </row>
    <row r="22" spans="2:9">
      <c r="B22" s="292" t="str">
        <f>Node!B9</f>
        <v>INVIHR11AMB1SAEU01NK</v>
      </c>
      <c r="C22" s="143" t="s">
        <v>466</v>
      </c>
      <c r="D22" s="130" t="s">
        <v>548</v>
      </c>
      <c r="E22" s="130">
        <v>100</v>
      </c>
      <c r="F22" s="130" t="s">
        <v>399</v>
      </c>
      <c r="G22" s="130" t="s">
        <v>559</v>
      </c>
      <c r="H22" s="130" t="s">
        <v>563</v>
      </c>
      <c r="I22" s="270" t="s">
        <v>36</v>
      </c>
    </row>
    <row r="23" spans="2:9">
      <c r="B23" s="292" t="str">
        <f>Node!B9</f>
        <v>INVIHR11AMB1SAEU01NK</v>
      </c>
      <c r="C23" s="143" t="s">
        <v>466</v>
      </c>
      <c r="D23" s="130" t="s">
        <v>548</v>
      </c>
      <c r="E23" s="130">
        <v>100</v>
      </c>
      <c r="F23" s="130" t="s">
        <v>571</v>
      </c>
      <c r="G23" s="130" t="s">
        <v>560</v>
      </c>
      <c r="H23" s="130" t="s">
        <v>572</v>
      </c>
      <c r="I23" s="270" t="s">
        <v>36</v>
      </c>
    </row>
    <row r="24" spans="2:9">
      <c r="B24" s="292" t="str">
        <f>Node!B9</f>
        <v>INVIHR11AMB1SAEU01NK</v>
      </c>
      <c r="C24" s="143" t="s">
        <v>466</v>
      </c>
      <c r="D24" s="130" t="s">
        <v>549</v>
      </c>
      <c r="E24" s="130">
        <v>100</v>
      </c>
      <c r="F24" s="130" t="s">
        <v>399</v>
      </c>
      <c r="G24" s="130" t="s">
        <v>559</v>
      </c>
      <c r="H24" s="130" t="s">
        <v>564</v>
      </c>
      <c r="I24" s="270" t="s">
        <v>36</v>
      </c>
    </row>
    <row r="25" spans="2:9">
      <c r="B25" s="292" t="str">
        <f>Node!B9</f>
        <v>INVIHR11AMB1SAEU01NK</v>
      </c>
      <c r="C25" s="143" t="s">
        <v>466</v>
      </c>
      <c r="D25" s="130" t="s">
        <v>549</v>
      </c>
      <c r="E25" s="130">
        <v>100</v>
      </c>
      <c r="F25" s="130" t="s">
        <v>571</v>
      </c>
      <c r="G25" s="130" t="s">
        <v>560</v>
      </c>
      <c r="H25" s="130" t="s">
        <v>573</v>
      </c>
      <c r="I25" s="270" t="s">
        <v>36</v>
      </c>
    </row>
    <row r="26" spans="2:9">
      <c r="B26" s="292" t="str">
        <f>Node!B9</f>
        <v>INVIHR11AMB1SAEU01NK</v>
      </c>
      <c r="C26" s="143" t="s">
        <v>466</v>
      </c>
      <c r="D26" s="130" t="s">
        <v>551</v>
      </c>
      <c r="E26" s="130">
        <v>100</v>
      </c>
      <c r="F26" s="130" t="s">
        <v>399</v>
      </c>
      <c r="G26" s="130" t="s">
        <v>556</v>
      </c>
      <c r="H26" s="130" t="s">
        <v>566</v>
      </c>
      <c r="I26" s="270" t="s">
        <v>927</v>
      </c>
    </row>
    <row r="27" spans="2:9">
      <c r="B27" s="292" t="str">
        <f>Node!B9</f>
        <v>INVIHR11AMB1SAEU01NK</v>
      </c>
      <c r="C27" s="143" t="s">
        <v>466</v>
      </c>
      <c r="D27" s="130" t="s">
        <v>574</v>
      </c>
      <c r="E27" s="130">
        <v>100</v>
      </c>
      <c r="F27" s="130" t="s">
        <v>399</v>
      </c>
      <c r="G27" s="130" t="s">
        <v>558</v>
      </c>
      <c r="H27" s="130" t="s">
        <v>568</v>
      </c>
      <c r="I27" s="270" t="s">
        <v>36</v>
      </c>
    </row>
    <row r="28" spans="2:9">
      <c r="B28" s="292" t="str">
        <f>Node!B9</f>
        <v>INVIHR11AMB1SAEU01NK</v>
      </c>
      <c r="C28" s="143" t="s">
        <v>466</v>
      </c>
      <c r="D28" s="130" t="s">
        <v>569</v>
      </c>
      <c r="E28" s="130">
        <v>100</v>
      </c>
      <c r="F28" s="130" t="s">
        <v>399</v>
      </c>
      <c r="G28" s="130" t="s">
        <v>557</v>
      </c>
      <c r="H28" s="130" t="s">
        <v>36</v>
      </c>
      <c r="I28" s="270" t="s">
        <v>1424</v>
      </c>
    </row>
  </sheetData>
  <mergeCells count="1">
    <mergeCell ref="B1:B3"/>
  </mergeCells>
  <dataValidations count="1">
    <dataValidation type="list" allowBlank="1" showInputMessage="1" showErrorMessage="1" sqref="C8:C28" xr:uid="{C34B91FE-79A3-49CF-98DE-13FFF7798007}">
      <formula1>$C$1:$C$3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>
                <anchor moveWithCells="1">
                  <from>
                    <xdr:col>4</xdr:col>
                    <xdr:colOff>0</xdr:colOff>
                    <xdr:row>3</xdr:row>
                    <xdr:rowOff>137160</xdr:rowOff>
                  </from>
                  <to>
                    <xdr:col>6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0148D-4313-42B1-B1CF-2AB57991BFB2}">
  <sheetPr codeName="Sheet14"/>
  <dimension ref="A1:AC18"/>
  <sheetViews>
    <sheetView zoomScale="70" zoomScaleNormal="70" workbookViewId="0">
      <selection activeCell="A18" sqref="A14:XFD18"/>
    </sheetView>
  </sheetViews>
  <sheetFormatPr defaultColWidth="8.6640625" defaultRowHeight="13.8"/>
  <cols>
    <col min="1" max="1" width="3" style="59" bestFit="1" customWidth="1"/>
    <col min="2" max="2" width="22.44140625" style="59" bestFit="1" customWidth="1"/>
    <col min="3" max="3" width="12.44140625" style="59" bestFit="1" customWidth="1"/>
    <col min="4" max="4" width="5.5546875" style="59" bestFit="1" customWidth="1"/>
    <col min="5" max="5" width="6.5546875" style="59" bestFit="1" customWidth="1"/>
    <col min="6" max="6" width="23.77734375" style="59" bestFit="1" customWidth="1"/>
    <col min="7" max="8" width="15.21875" style="59" bestFit="1" customWidth="1"/>
    <col min="9" max="9" width="11.33203125" style="59" bestFit="1" customWidth="1"/>
    <col min="10" max="10" width="11.88671875" style="59" bestFit="1" customWidth="1"/>
    <col min="11" max="11" width="7.77734375" style="59" bestFit="1" customWidth="1"/>
    <col min="12" max="12" width="13.44140625" style="59" bestFit="1" customWidth="1"/>
    <col min="13" max="13" width="29.109375" style="59" bestFit="1" customWidth="1"/>
    <col min="14" max="15" width="7.77734375" style="59" bestFit="1" customWidth="1"/>
    <col min="16" max="16" width="9.44140625" style="59" bestFit="1" customWidth="1"/>
    <col min="17" max="17" width="11.33203125" style="59" bestFit="1" customWidth="1"/>
    <col min="18" max="18" width="12.21875" style="59" bestFit="1" customWidth="1"/>
    <col min="19" max="19" width="19.44140625" style="59" bestFit="1" customWidth="1"/>
    <col min="20" max="20" width="23.33203125" style="59" bestFit="1" customWidth="1"/>
    <col min="21" max="21" width="9.21875" style="59" bestFit="1" customWidth="1"/>
    <col min="22" max="22" width="7.88671875" style="59" bestFit="1" customWidth="1"/>
    <col min="23" max="23" width="7.77734375" style="59" bestFit="1" customWidth="1"/>
    <col min="24" max="24" width="13" style="59" bestFit="1" customWidth="1"/>
    <col min="25" max="25" width="12.33203125" style="59" bestFit="1" customWidth="1"/>
    <col min="26" max="26" width="15.77734375" style="59" bestFit="1" customWidth="1"/>
    <col min="27" max="27" width="12.21875" style="59" bestFit="1" customWidth="1"/>
    <col min="28" max="28" width="11.33203125" style="59" bestFit="1" customWidth="1"/>
    <col min="29" max="29" width="7.77734375" style="59" bestFit="1" customWidth="1"/>
    <col min="30" max="16384" width="8.6640625" style="59"/>
  </cols>
  <sheetData>
    <row r="1" spans="1:29" ht="24" customHeight="1">
      <c r="A1" s="58" t="s">
        <v>6</v>
      </c>
      <c r="B1" s="344" t="s">
        <v>378</v>
      </c>
      <c r="C1" s="50"/>
      <c r="D1" s="52"/>
      <c r="E1" s="51" t="s">
        <v>533</v>
      </c>
      <c r="F1" s="56"/>
      <c r="G1" s="49"/>
      <c r="H1" s="49"/>
      <c r="I1" s="51" t="s">
        <v>536</v>
      </c>
      <c r="J1" s="51" t="s">
        <v>536</v>
      </c>
      <c r="K1" s="51" t="s">
        <v>536</v>
      </c>
      <c r="L1" s="49" t="s">
        <v>534</v>
      </c>
      <c r="M1" s="49"/>
      <c r="N1" s="51" t="s">
        <v>536</v>
      </c>
      <c r="O1" s="51" t="s">
        <v>536</v>
      </c>
      <c r="P1" s="51" t="s">
        <v>536</v>
      </c>
      <c r="Q1" s="49"/>
      <c r="R1" s="49" t="s">
        <v>41</v>
      </c>
      <c r="S1" s="51" t="s">
        <v>536</v>
      </c>
      <c r="T1" s="51" t="s">
        <v>536</v>
      </c>
      <c r="U1" s="49" t="s">
        <v>312</v>
      </c>
      <c r="V1" s="49"/>
      <c r="W1" s="51" t="s">
        <v>536</v>
      </c>
      <c r="X1" s="49"/>
      <c r="Y1" s="49"/>
      <c r="Z1" s="51" t="s">
        <v>536</v>
      </c>
      <c r="AA1" s="51" t="s">
        <v>536</v>
      </c>
      <c r="AB1" s="51" t="s">
        <v>536</v>
      </c>
      <c r="AC1" s="51" t="s">
        <v>536</v>
      </c>
    </row>
    <row r="2" spans="1:29">
      <c r="A2" s="58" t="s">
        <v>6</v>
      </c>
      <c r="B2" s="344"/>
      <c r="C2" s="50"/>
      <c r="D2" s="51"/>
      <c r="E2" s="51" t="s">
        <v>36</v>
      </c>
      <c r="F2" s="51"/>
      <c r="G2" s="51"/>
      <c r="H2" s="51"/>
      <c r="I2" s="51" t="s">
        <v>36</v>
      </c>
      <c r="J2" s="51" t="s">
        <v>36</v>
      </c>
      <c r="K2" s="51" t="s">
        <v>36</v>
      </c>
      <c r="L2" s="51" t="s">
        <v>535</v>
      </c>
      <c r="M2" s="51"/>
      <c r="N2" s="51" t="s">
        <v>36</v>
      </c>
      <c r="O2" s="51" t="s">
        <v>36</v>
      </c>
      <c r="P2" s="51" t="s">
        <v>36</v>
      </c>
      <c r="Q2" s="51"/>
      <c r="R2" s="51" t="s">
        <v>370</v>
      </c>
      <c r="S2" s="51" t="s">
        <v>36</v>
      </c>
      <c r="T2" s="51" t="s">
        <v>36</v>
      </c>
      <c r="U2" s="51" t="s">
        <v>377</v>
      </c>
      <c r="V2" s="51"/>
      <c r="W2" s="51" t="s">
        <v>36</v>
      </c>
      <c r="X2" s="51"/>
      <c r="Y2" s="51"/>
      <c r="Z2" s="51" t="s">
        <v>36</v>
      </c>
      <c r="AA2" s="51" t="s">
        <v>36</v>
      </c>
      <c r="AB2" s="51" t="s">
        <v>36</v>
      </c>
      <c r="AC2" s="51" t="s">
        <v>36</v>
      </c>
    </row>
    <row r="3" spans="1:29" ht="14.4" thickBot="1">
      <c r="A3" s="58" t="s">
        <v>6</v>
      </c>
      <c r="B3" s="344"/>
      <c r="C3" s="50"/>
      <c r="D3" s="51"/>
      <c r="E3" s="56"/>
      <c r="F3" s="51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1" t="s">
        <v>1395</v>
      </c>
      <c r="S3" s="53"/>
      <c r="T3" s="53"/>
      <c r="U3" s="53" t="s">
        <v>36</v>
      </c>
      <c r="V3" s="53"/>
      <c r="W3" s="53"/>
      <c r="X3" s="53"/>
      <c r="Y3" s="53"/>
      <c r="Z3" s="54"/>
      <c r="AA3" s="55"/>
      <c r="AB3" s="55"/>
      <c r="AC3" s="55"/>
    </row>
    <row r="4" spans="1:29" ht="24" customHeigh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</row>
    <row r="5" spans="1:29" ht="15" thickBot="1">
      <c r="A5" s="60" t="s">
        <v>6</v>
      </c>
      <c r="B5" s="128" t="s">
        <v>15</v>
      </c>
      <c r="C5" s="362" t="s">
        <v>372</v>
      </c>
      <c r="D5" s="362"/>
      <c r="E5" s="362"/>
      <c r="F5" s="362"/>
      <c r="G5" s="362"/>
      <c r="H5" s="362"/>
      <c r="I5" s="362"/>
      <c r="J5" s="362"/>
      <c r="K5" s="362"/>
      <c r="L5" s="362"/>
      <c r="M5" s="362"/>
      <c r="N5" s="359" t="s">
        <v>373</v>
      </c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</row>
    <row r="6" spans="1:29" ht="15" customHeight="1" thickBot="1">
      <c r="A6" s="60" t="s">
        <v>6</v>
      </c>
      <c r="B6" s="64" t="s">
        <v>16</v>
      </c>
      <c r="N6" s="353" t="s">
        <v>374</v>
      </c>
      <c r="O6" s="354"/>
      <c r="P6" s="355"/>
      <c r="Q6" s="222"/>
      <c r="R6" s="223"/>
      <c r="S6" s="356" t="s">
        <v>930</v>
      </c>
      <c r="T6" s="357"/>
      <c r="U6" s="357" t="s">
        <v>931</v>
      </c>
      <c r="V6" s="357"/>
      <c r="W6" s="357"/>
      <c r="X6" s="357"/>
      <c r="Y6" s="357"/>
      <c r="Z6" s="357"/>
      <c r="AA6" s="358"/>
      <c r="AB6" s="357" t="s">
        <v>1396</v>
      </c>
      <c r="AC6" s="357"/>
    </row>
    <row r="7" spans="1:29" s="71" customFormat="1" ht="14.4" thickBot="1">
      <c r="A7" s="66"/>
      <c r="B7" s="69" t="s">
        <v>17</v>
      </c>
      <c r="C7" s="69" t="s">
        <v>18</v>
      </c>
      <c r="D7" s="69" t="s">
        <v>19</v>
      </c>
      <c r="E7" s="69" t="s">
        <v>20</v>
      </c>
      <c r="F7" s="69" t="s">
        <v>21</v>
      </c>
      <c r="G7" s="69" t="s">
        <v>22</v>
      </c>
      <c r="H7" s="69" t="s">
        <v>23</v>
      </c>
      <c r="I7" s="110" t="s">
        <v>88</v>
      </c>
      <c r="J7" s="110" t="s">
        <v>89</v>
      </c>
      <c r="K7" s="110" t="s">
        <v>974</v>
      </c>
      <c r="L7" s="69" t="s">
        <v>24</v>
      </c>
      <c r="M7" s="69" t="s">
        <v>42</v>
      </c>
      <c r="N7" s="69" t="s">
        <v>25</v>
      </c>
      <c r="O7" s="69" t="s">
        <v>26</v>
      </c>
      <c r="P7" s="69" t="s">
        <v>27</v>
      </c>
      <c r="Q7" s="69" t="s">
        <v>28</v>
      </c>
      <c r="R7" s="69" t="s">
        <v>369</v>
      </c>
      <c r="S7" s="124" t="s">
        <v>73</v>
      </c>
      <c r="T7" s="124" t="s">
        <v>92</v>
      </c>
      <c r="U7" s="124" t="s">
        <v>95</v>
      </c>
      <c r="V7" s="124" t="s">
        <v>29</v>
      </c>
      <c r="W7" s="124" t="s">
        <v>30</v>
      </c>
      <c r="X7" s="124" t="s">
        <v>31</v>
      </c>
      <c r="Y7" s="124" t="s">
        <v>32</v>
      </c>
      <c r="Z7" s="224" t="s">
        <v>93</v>
      </c>
      <c r="AA7" s="224" t="s">
        <v>94</v>
      </c>
      <c r="AB7" s="124" t="s">
        <v>1397</v>
      </c>
      <c r="AC7" s="124" t="s">
        <v>1398</v>
      </c>
    </row>
    <row r="8" spans="1:29" s="90" customFormat="1">
      <c r="B8" s="75" t="str">
        <f>Node!B8</f>
        <v>INVIHR11AMB1SAEC01NK</v>
      </c>
      <c r="C8" s="352" t="s">
        <v>34</v>
      </c>
      <c r="D8" s="56"/>
      <c r="E8" s="11" t="s">
        <v>36</v>
      </c>
      <c r="F8" s="131" t="s">
        <v>35</v>
      </c>
      <c r="G8" s="80" t="str">
        <f>'[2]External Interfaces'!$G$7</f>
        <v>10.95.67.193/32</v>
      </c>
      <c r="H8" s="78"/>
      <c r="I8" s="257" t="s">
        <v>36</v>
      </c>
      <c r="J8" s="78" t="s">
        <v>36</v>
      </c>
      <c r="K8" s="51" t="s">
        <v>36</v>
      </c>
      <c r="L8" s="72" t="s">
        <v>68</v>
      </c>
      <c r="M8" s="214" t="s">
        <v>96</v>
      </c>
      <c r="N8" s="111" t="s">
        <v>36</v>
      </c>
      <c r="O8" s="111" t="s">
        <v>36</v>
      </c>
      <c r="P8" s="111" t="s">
        <v>36</v>
      </c>
      <c r="Q8" s="213" t="str">
        <f>LEFT(G8,FIND("/",G8)-1)</f>
        <v>10.95.67.193</v>
      </c>
      <c r="R8" s="131" t="s">
        <v>370</v>
      </c>
      <c r="S8" s="78" t="s">
        <v>36</v>
      </c>
      <c r="T8" s="73" t="s">
        <v>36</v>
      </c>
      <c r="U8" s="52" t="s">
        <v>36</v>
      </c>
      <c r="V8" s="112">
        <v>65010</v>
      </c>
      <c r="W8" s="52" t="s">
        <v>36</v>
      </c>
      <c r="X8" s="56"/>
      <c r="Y8" s="56"/>
      <c r="Z8" s="78" t="s">
        <v>36</v>
      </c>
      <c r="AA8" s="78" t="s">
        <v>36</v>
      </c>
      <c r="AB8" s="90" t="str">
        <f>LEFT(G8,FIND("/",G8)-1)</f>
        <v>10.95.67.193</v>
      </c>
      <c r="AC8" s="90">
        <v>0</v>
      </c>
    </row>
    <row r="9" spans="1:29" s="90" customFormat="1">
      <c r="B9" s="56" t="str">
        <f>B8</f>
        <v>INVIHR11AMB1SAEC01NK</v>
      </c>
      <c r="C9" s="352"/>
      <c r="D9" s="113" t="s">
        <v>37</v>
      </c>
      <c r="E9" s="11">
        <f>'[2]CP -BASE-GRT'!$H$7</f>
        <v>1101</v>
      </c>
      <c r="F9" s="149" t="s">
        <v>379</v>
      </c>
      <c r="G9" s="131" t="s">
        <v>141</v>
      </c>
      <c r="H9" s="131" t="s">
        <v>145</v>
      </c>
      <c r="I9" s="258" t="s">
        <v>36</v>
      </c>
      <c r="J9" s="258" t="s">
        <v>36</v>
      </c>
      <c r="K9" s="51" t="s">
        <v>36</v>
      </c>
      <c r="L9" s="72" t="s">
        <v>64</v>
      </c>
      <c r="M9" s="214" t="str">
        <f>""&amp;F9&amp;"-To-LEAF1"</f>
        <v>CP-BASE-GRT-LB1-Port1-To-LEAF1</v>
      </c>
      <c r="N9" s="156">
        <v>100</v>
      </c>
      <c r="O9" s="156">
        <v>100</v>
      </c>
      <c r="P9" s="156">
        <v>3</v>
      </c>
      <c r="Q9" s="56"/>
      <c r="R9" s="56" t="str">
        <f>R8</f>
        <v>Static</v>
      </c>
      <c r="S9" s="78" t="str">
        <f>LEFT(H9,FIND("/",H9)-1)</f>
        <v>192.168.0.2</v>
      </c>
      <c r="T9" s="73"/>
      <c r="U9" s="56"/>
      <c r="V9" s="56"/>
      <c r="W9" s="56"/>
      <c r="X9" s="56" t="str">
        <f t="shared" ref="X9:Y12" si="0">LEFT(G9,FIND("/",G9)-1)</f>
        <v>192.168.0.1</v>
      </c>
      <c r="Y9" s="56" t="str">
        <f t="shared" si="0"/>
        <v>192.168.0.2</v>
      </c>
      <c r="Z9" s="78" t="s">
        <v>36</v>
      </c>
      <c r="AA9" s="78" t="s">
        <v>36</v>
      </c>
      <c r="AB9" s="56"/>
      <c r="AC9" s="56"/>
    </row>
    <row r="10" spans="1:29" s="90" customFormat="1">
      <c r="B10" s="56" t="str">
        <f t="shared" ref="B10:B12" si="1">B9</f>
        <v>INVIHR11AMB1SAEC01NK</v>
      </c>
      <c r="C10" s="352"/>
      <c r="D10" s="113" t="s">
        <v>38</v>
      </c>
      <c r="E10" s="11">
        <f>'[2]CP -BASE-GRT'!$H$8</f>
        <v>1111</v>
      </c>
      <c r="F10" s="149" t="s">
        <v>380</v>
      </c>
      <c r="G10" s="131" t="s">
        <v>142</v>
      </c>
      <c r="H10" s="131" t="s">
        <v>146</v>
      </c>
      <c r="I10" s="258" t="s">
        <v>36</v>
      </c>
      <c r="J10" s="258" t="s">
        <v>36</v>
      </c>
      <c r="K10" s="51" t="s">
        <v>36</v>
      </c>
      <c r="L10" s="72" t="s">
        <v>64</v>
      </c>
      <c r="M10" s="214" t="str">
        <f>""&amp;F10&amp;"-To-LEAF2"</f>
        <v>CP-BASE-GRT-LB1-Port2-To-LEAF2</v>
      </c>
      <c r="N10" s="56">
        <f>N9</f>
        <v>100</v>
      </c>
      <c r="O10" s="56">
        <f t="shared" ref="O10:P12" si="2">O9</f>
        <v>100</v>
      </c>
      <c r="P10" s="56">
        <f t="shared" si="2"/>
        <v>3</v>
      </c>
      <c r="Q10" s="56"/>
      <c r="R10" s="56" t="str">
        <f t="shared" ref="R10:R12" si="3">R9</f>
        <v>Static</v>
      </c>
      <c r="S10" s="78" t="str">
        <f>LEFT(H10,FIND("/",H10)-1)</f>
        <v>192.168.0.130</v>
      </c>
      <c r="T10" s="73" t="s">
        <v>36</v>
      </c>
      <c r="U10" s="56"/>
      <c r="V10" s="56"/>
      <c r="W10" s="56"/>
      <c r="X10" s="56" t="str">
        <f t="shared" si="0"/>
        <v>192.168.0.129</v>
      </c>
      <c r="Y10" s="56" t="str">
        <f t="shared" si="0"/>
        <v>192.168.0.130</v>
      </c>
      <c r="Z10" s="78" t="s">
        <v>36</v>
      </c>
      <c r="AA10" s="78" t="s">
        <v>36</v>
      </c>
      <c r="AB10" s="56"/>
      <c r="AC10" s="56"/>
    </row>
    <row r="11" spans="1:29" s="90" customFormat="1">
      <c r="B11" s="56" t="str">
        <f t="shared" si="1"/>
        <v>INVIHR11AMB1SAEC01NK</v>
      </c>
      <c r="C11" s="352"/>
      <c r="D11" s="113" t="s">
        <v>39</v>
      </c>
      <c r="E11" s="11">
        <f>'[2]CP -BASE-GRT'!$H$9</f>
        <v>1121</v>
      </c>
      <c r="F11" s="149" t="s">
        <v>381</v>
      </c>
      <c r="G11" s="131" t="s">
        <v>143</v>
      </c>
      <c r="H11" s="131" t="s">
        <v>147</v>
      </c>
      <c r="I11" s="258" t="s">
        <v>36</v>
      </c>
      <c r="J11" s="258" t="s">
        <v>36</v>
      </c>
      <c r="K11" s="51" t="s">
        <v>36</v>
      </c>
      <c r="L11" s="72" t="s">
        <v>64</v>
      </c>
      <c r="M11" s="214" t="str">
        <f>""&amp;F11&amp;"-To-LEAF1"</f>
        <v>CP-BASE-GRT-LB2-Port1-To-LEAF1</v>
      </c>
      <c r="N11" s="56">
        <f>N10</f>
        <v>100</v>
      </c>
      <c r="O11" s="56">
        <f t="shared" si="2"/>
        <v>100</v>
      </c>
      <c r="P11" s="56">
        <f t="shared" si="2"/>
        <v>3</v>
      </c>
      <c r="Q11" s="56"/>
      <c r="R11" s="56" t="str">
        <f t="shared" si="3"/>
        <v>Static</v>
      </c>
      <c r="S11" s="78" t="str">
        <f>LEFT(H11,FIND("/",H11)-1)</f>
        <v>192.168.0.22</v>
      </c>
      <c r="T11" s="73" t="s">
        <v>36</v>
      </c>
      <c r="U11" s="56"/>
      <c r="V11" s="56"/>
      <c r="W11" s="56"/>
      <c r="X11" s="56" t="str">
        <f t="shared" si="0"/>
        <v>192.168.0.21</v>
      </c>
      <c r="Y11" s="56" t="str">
        <f t="shared" si="0"/>
        <v>192.168.0.22</v>
      </c>
      <c r="Z11" s="78" t="s">
        <v>36</v>
      </c>
      <c r="AA11" s="78" t="s">
        <v>36</v>
      </c>
      <c r="AB11" s="56"/>
      <c r="AC11" s="56"/>
    </row>
    <row r="12" spans="1:29" s="90" customFormat="1" ht="14.4" thickBot="1">
      <c r="B12" s="84" t="str">
        <f t="shared" si="1"/>
        <v>INVIHR11AMB1SAEC01NK</v>
      </c>
      <c r="C12" s="352"/>
      <c r="D12" s="114" t="s">
        <v>40</v>
      </c>
      <c r="E12" s="11">
        <f>'[2]CP -BASE-GRT'!$H$10</f>
        <v>1131</v>
      </c>
      <c r="F12" s="150" t="s">
        <v>382</v>
      </c>
      <c r="G12" s="151" t="s">
        <v>144</v>
      </c>
      <c r="H12" s="151" t="s">
        <v>148</v>
      </c>
      <c r="I12" s="258" t="s">
        <v>36</v>
      </c>
      <c r="J12" s="258" t="s">
        <v>36</v>
      </c>
      <c r="K12" s="51" t="s">
        <v>36</v>
      </c>
      <c r="L12" s="85" t="s">
        <v>64</v>
      </c>
      <c r="M12" s="215" t="str">
        <f>""&amp;F12&amp;"-To-LEAF2"</f>
        <v>CP-BASE-GRT-LB2-Port2-To-LEAF2</v>
      </c>
      <c r="N12" s="84">
        <f>N11</f>
        <v>100</v>
      </c>
      <c r="O12" s="84">
        <f t="shared" si="2"/>
        <v>100</v>
      </c>
      <c r="P12" s="84">
        <f t="shared" si="2"/>
        <v>3</v>
      </c>
      <c r="Q12" s="84"/>
      <c r="R12" s="84" t="str">
        <f t="shared" si="3"/>
        <v>Static</v>
      </c>
      <c r="S12" s="86" t="str">
        <f>LEFT(H12,FIND("/",H12)-1)</f>
        <v>192.168.0.150</v>
      </c>
      <c r="T12" s="73" t="s">
        <v>36</v>
      </c>
      <c r="U12" s="84"/>
      <c r="V12" s="84"/>
      <c r="W12" s="84"/>
      <c r="X12" s="84" t="str">
        <f t="shared" si="0"/>
        <v>192.168.0.149</v>
      </c>
      <c r="Y12" s="84" t="str">
        <f t="shared" si="0"/>
        <v>192.168.0.150</v>
      </c>
      <c r="Z12" s="86" t="s">
        <v>36</v>
      </c>
      <c r="AA12" s="86" t="s">
        <v>36</v>
      </c>
      <c r="AB12" s="84"/>
      <c r="AC12" s="84"/>
    </row>
    <row r="13" spans="1:29" s="71" customFormat="1" ht="14.4" thickBot="1">
      <c r="A13" s="66"/>
      <c r="I13" s="257"/>
      <c r="S13" s="100"/>
      <c r="T13" s="115"/>
    </row>
    <row r="14" spans="1:29">
      <c r="B14" s="102" t="str">
        <f>Node!B9</f>
        <v>INVIHR11AMB1SAEU01NK</v>
      </c>
      <c r="C14" s="352" t="s">
        <v>149</v>
      </c>
      <c r="D14" s="73"/>
      <c r="E14" s="11" t="s">
        <v>36</v>
      </c>
      <c r="F14" s="152" t="s">
        <v>35</v>
      </c>
      <c r="G14" s="89" t="str">
        <f>'[2]External Interfaces'!$L$7</f>
        <v>10.95.67.194/32</v>
      </c>
      <c r="H14" s="76"/>
      <c r="I14" s="257" t="s">
        <v>36</v>
      </c>
      <c r="J14" s="76" t="s">
        <v>36</v>
      </c>
      <c r="K14" s="227" t="s">
        <v>975</v>
      </c>
      <c r="L14" s="88" t="s">
        <v>68</v>
      </c>
      <c r="M14" s="216" t="s">
        <v>96</v>
      </c>
      <c r="N14" s="116" t="s">
        <v>36</v>
      </c>
      <c r="O14" s="116" t="s">
        <v>36</v>
      </c>
      <c r="P14" s="116" t="s">
        <v>36</v>
      </c>
      <c r="Q14" s="76" t="str">
        <f>LEFT(G14,FIND("/",G14)-1)</f>
        <v>10.95.67.194</v>
      </c>
      <c r="R14" s="152" t="s">
        <v>370</v>
      </c>
      <c r="S14" s="76"/>
      <c r="T14" s="73" t="s">
        <v>36</v>
      </c>
      <c r="U14" s="74" t="s">
        <v>36</v>
      </c>
      <c r="V14" s="117">
        <v>65010</v>
      </c>
      <c r="W14" s="74" t="s">
        <v>36</v>
      </c>
      <c r="X14" s="73"/>
      <c r="Y14" s="73"/>
      <c r="Z14" s="76" t="s">
        <v>36</v>
      </c>
      <c r="AA14" s="76" t="s">
        <v>36</v>
      </c>
      <c r="AB14" s="90" t="str">
        <f>LEFT(G14,FIND("/",G14)-1)</f>
        <v>10.95.67.194</v>
      </c>
      <c r="AC14" s="90">
        <v>0</v>
      </c>
    </row>
    <row r="15" spans="1:29">
      <c r="B15" s="123" t="str">
        <f>Node!B9</f>
        <v>INVIHR11AMB1SAEU01NK</v>
      </c>
      <c r="C15" s="352"/>
      <c r="D15" s="113" t="s">
        <v>37</v>
      </c>
      <c r="E15" s="11">
        <f>'[2]UP -BASE-GRT'!$H$7</f>
        <v>1109</v>
      </c>
      <c r="F15" s="149" t="s">
        <v>319</v>
      </c>
      <c r="G15" s="131" t="s">
        <v>150</v>
      </c>
      <c r="H15" s="131" t="s">
        <v>151</v>
      </c>
      <c r="I15" s="258" t="s">
        <v>36</v>
      </c>
      <c r="J15" s="258" t="s">
        <v>36</v>
      </c>
      <c r="K15" s="51" t="s">
        <v>36</v>
      </c>
      <c r="L15" s="72" t="s">
        <v>64</v>
      </c>
      <c r="M15" s="214" t="str">
        <f>""&amp;F15&amp;"-To-LEAF1"</f>
        <v>UP-BASE-GRT-LB1-Port1-To-LEAF1</v>
      </c>
      <c r="N15" s="156">
        <v>100</v>
      </c>
      <c r="O15" s="156">
        <v>100</v>
      </c>
      <c r="P15" s="156">
        <v>3</v>
      </c>
      <c r="Q15" s="56"/>
      <c r="R15" s="56" t="s">
        <v>370</v>
      </c>
      <c r="S15" s="78" t="str">
        <f>LEFT(H15,FIND("/",H15)-1)</f>
        <v>192.168.1.2</v>
      </c>
      <c r="T15" s="73" t="s">
        <v>36</v>
      </c>
      <c r="U15" s="56"/>
      <c r="V15" s="56"/>
      <c r="W15" s="56"/>
      <c r="X15" s="56" t="str">
        <f t="shared" ref="X15:X18" si="4">LEFT(G15,FIND("/",G15)-1)</f>
        <v>192.168.1.1</v>
      </c>
      <c r="Y15" s="56" t="str">
        <f t="shared" ref="Y15:Y18" si="5">LEFT(H15,FIND("/",H15)-1)</f>
        <v>192.168.1.2</v>
      </c>
      <c r="Z15" s="78" t="s">
        <v>36</v>
      </c>
      <c r="AA15" s="78" t="s">
        <v>36</v>
      </c>
      <c r="AB15" s="56"/>
      <c r="AC15" s="56"/>
    </row>
    <row r="16" spans="1:29">
      <c r="B16" s="123" t="str">
        <f>Node!B9</f>
        <v>INVIHR11AMB1SAEU01NK</v>
      </c>
      <c r="C16" s="352"/>
      <c r="D16" s="113" t="s">
        <v>38</v>
      </c>
      <c r="E16" s="11">
        <f>'[2]UP -BASE-GRT'!$H$8</f>
        <v>1119</v>
      </c>
      <c r="F16" s="149" t="s">
        <v>320</v>
      </c>
      <c r="G16" s="131" t="s">
        <v>152</v>
      </c>
      <c r="H16" s="131" t="s">
        <v>153</v>
      </c>
      <c r="I16" s="258" t="s">
        <v>36</v>
      </c>
      <c r="J16" s="258" t="s">
        <v>36</v>
      </c>
      <c r="K16" s="51" t="s">
        <v>36</v>
      </c>
      <c r="L16" s="72" t="s">
        <v>64</v>
      </c>
      <c r="M16" s="214" t="str">
        <f>""&amp;F16&amp;"-To-LEAF2"</f>
        <v>UP-BASE-GRT-LB1-Port2-To-LEAF2</v>
      </c>
      <c r="N16" s="56">
        <f>N15</f>
        <v>100</v>
      </c>
      <c r="O16" s="56">
        <f t="shared" ref="O16:P16" si="6">O15</f>
        <v>100</v>
      </c>
      <c r="P16" s="56">
        <f t="shared" si="6"/>
        <v>3</v>
      </c>
      <c r="Q16" s="56"/>
      <c r="R16" s="56" t="s">
        <v>370</v>
      </c>
      <c r="S16" s="78" t="str">
        <f>LEFT(H16,FIND("/",H16)-1)</f>
        <v>192.168.2.2</v>
      </c>
      <c r="T16" s="73" t="s">
        <v>36</v>
      </c>
      <c r="U16" s="56"/>
      <c r="V16" s="56"/>
      <c r="W16" s="56"/>
      <c r="X16" s="56" t="str">
        <f t="shared" si="4"/>
        <v>192.168.2.1</v>
      </c>
      <c r="Y16" s="56" t="str">
        <f t="shared" si="5"/>
        <v>192.168.2.2</v>
      </c>
      <c r="Z16" s="78" t="s">
        <v>36</v>
      </c>
      <c r="AA16" s="78" t="s">
        <v>36</v>
      </c>
      <c r="AB16" s="56"/>
      <c r="AC16" s="56"/>
    </row>
    <row r="17" spans="2:29">
      <c r="B17" s="123" t="str">
        <f>Node!B9</f>
        <v>INVIHR11AMB1SAEU01NK</v>
      </c>
      <c r="C17" s="352"/>
      <c r="D17" s="113" t="s">
        <v>39</v>
      </c>
      <c r="E17" s="11">
        <f>'[2]UP -BASE-GRT'!$H$9</f>
        <v>1129</v>
      </c>
      <c r="F17" s="149" t="s">
        <v>321</v>
      </c>
      <c r="G17" s="131" t="s">
        <v>154</v>
      </c>
      <c r="H17" s="131" t="s">
        <v>155</v>
      </c>
      <c r="I17" s="258" t="s">
        <v>36</v>
      </c>
      <c r="J17" s="258" t="s">
        <v>36</v>
      </c>
      <c r="K17" s="51" t="s">
        <v>36</v>
      </c>
      <c r="L17" s="72" t="s">
        <v>64</v>
      </c>
      <c r="M17" s="214" t="str">
        <f>""&amp;F17&amp;"-To-LEAF1"</f>
        <v>UP-BASE-GRT-LB2-Port1-To-LEAF1</v>
      </c>
      <c r="N17" s="56">
        <f>N16</f>
        <v>100</v>
      </c>
      <c r="O17" s="56">
        <f t="shared" ref="O17:P17" si="7">O16</f>
        <v>100</v>
      </c>
      <c r="P17" s="56">
        <f t="shared" si="7"/>
        <v>3</v>
      </c>
      <c r="Q17" s="56"/>
      <c r="R17" s="56" t="s">
        <v>370</v>
      </c>
      <c r="S17" s="78" t="str">
        <f>LEFT(H17,FIND("/",H17)-1)</f>
        <v>192.168.1.98</v>
      </c>
      <c r="T17" s="73" t="s">
        <v>36</v>
      </c>
      <c r="U17" s="56"/>
      <c r="V17" s="56"/>
      <c r="W17" s="56"/>
      <c r="X17" s="56" t="str">
        <f t="shared" si="4"/>
        <v>192.168.1.97</v>
      </c>
      <c r="Y17" s="56" t="str">
        <f t="shared" si="5"/>
        <v>192.168.1.98</v>
      </c>
      <c r="Z17" s="78" t="s">
        <v>36</v>
      </c>
      <c r="AA17" s="78" t="s">
        <v>36</v>
      </c>
      <c r="AB17" s="56"/>
      <c r="AC17" s="56"/>
    </row>
    <row r="18" spans="2:29">
      <c r="B18" s="252" t="str">
        <f>Node!B9</f>
        <v>INVIHR11AMB1SAEU01NK</v>
      </c>
      <c r="C18" s="352"/>
      <c r="D18" s="114" t="s">
        <v>40</v>
      </c>
      <c r="E18" s="11">
        <f>'[2]UP -BASE-GRT'!$H$10</f>
        <v>1139</v>
      </c>
      <c r="F18" s="150" t="s">
        <v>322</v>
      </c>
      <c r="G18" s="151" t="s">
        <v>156</v>
      </c>
      <c r="H18" s="151" t="s">
        <v>157</v>
      </c>
      <c r="I18" s="258" t="s">
        <v>36</v>
      </c>
      <c r="J18" s="258" t="s">
        <v>36</v>
      </c>
      <c r="K18" s="51" t="s">
        <v>36</v>
      </c>
      <c r="L18" s="85" t="s">
        <v>64</v>
      </c>
      <c r="M18" s="215" t="str">
        <f>""&amp;F18&amp;"-To-LEAF2"</f>
        <v>UP-BASE-GRT-LB2-Port2-To-LEAF2</v>
      </c>
      <c r="N18" s="84">
        <f>N17</f>
        <v>100</v>
      </c>
      <c r="O18" s="84">
        <f t="shared" ref="O18:P18" si="8">O17</f>
        <v>100</v>
      </c>
      <c r="P18" s="84">
        <f t="shared" si="8"/>
        <v>3</v>
      </c>
      <c r="Q18" s="84"/>
      <c r="R18" s="84" t="str">
        <f t="shared" ref="R18" si="9">R17</f>
        <v>Static</v>
      </c>
      <c r="S18" s="86" t="str">
        <f>LEFT(H18,FIND("/",H18)-1)</f>
        <v>192.168.2.98</v>
      </c>
      <c r="T18" s="73" t="s">
        <v>36</v>
      </c>
      <c r="U18" s="84"/>
      <c r="V18" s="84"/>
      <c r="W18" s="84"/>
      <c r="X18" s="84" t="str">
        <f t="shared" si="4"/>
        <v>192.168.2.97</v>
      </c>
      <c r="Y18" s="84" t="str">
        <f t="shared" si="5"/>
        <v>192.168.2.98</v>
      </c>
      <c r="Z18" s="86" t="s">
        <v>36</v>
      </c>
      <c r="AA18" s="86" t="s">
        <v>36</v>
      </c>
      <c r="AB18" s="84"/>
      <c r="AC18" s="84"/>
    </row>
  </sheetData>
  <mergeCells count="10">
    <mergeCell ref="AB6:AC6"/>
    <mergeCell ref="N5:AC5"/>
    <mergeCell ref="B1:B3"/>
    <mergeCell ref="C4:AA4"/>
    <mergeCell ref="C5:M5"/>
    <mergeCell ref="C8:C12"/>
    <mergeCell ref="C14:C18"/>
    <mergeCell ref="N6:P6"/>
    <mergeCell ref="S6:T6"/>
    <mergeCell ref="U6:AA6"/>
  </mergeCells>
  <dataValidations count="2">
    <dataValidation type="list" allowBlank="1" showInputMessage="1" showErrorMessage="1" sqref="R8:R18" xr:uid="{575B138B-8528-4241-8EBA-6E9DC305B278}">
      <formula1>$R$1:$R$3</formula1>
    </dataValidation>
    <dataValidation type="list" allowBlank="1" showInputMessage="1" showErrorMessage="1" sqref="U8:U18 AB9:AB12 AB15:AB18" xr:uid="{DF8DAB14-688E-492C-8321-16A5B5AE73C5}">
      <formula1>$U$1:$U$3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8043-FDBA-4C01-9D6F-D87270D3DD61}">
  <sheetPr codeName="Sheet15"/>
  <dimension ref="A1:AF70"/>
  <sheetViews>
    <sheetView topLeftCell="A19" zoomScale="70" zoomScaleNormal="70" zoomScaleSheetLayoutView="80" workbookViewId="0">
      <selection activeCell="G28" sqref="G28"/>
    </sheetView>
  </sheetViews>
  <sheetFormatPr defaultColWidth="8.6640625" defaultRowHeight="13.8"/>
  <cols>
    <col min="1" max="1" width="3" style="59" bestFit="1" customWidth="1"/>
    <col min="2" max="2" width="18.6640625" style="59" bestFit="1" customWidth="1"/>
    <col min="3" max="3" width="21.109375" style="59" bestFit="1" customWidth="1"/>
    <col min="4" max="4" width="5.5546875" style="59" bestFit="1" customWidth="1"/>
    <col min="5" max="5" width="6.5546875" style="59" bestFit="1" customWidth="1"/>
    <col min="6" max="6" width="31.6640625" style="59" bestFit="1" customWidth="1"/>
    <col min="7" max="8" width="16.6640625" style="59" bestFit="1" customWidth="1"/>
    <col min="9" max="10" width="24.44140625" style="59" bestFit="1" customWidth="1"/>
    <col min="11" max="11" width="7.6640625" style="59" customWidth="1"/>
    <col min="12" max="12" width="13.44140625" style="59" bestFit="1" customWidth="1"/>
    <col min="13" max="13" width="44.33203125" style="59" bestFit="1" customWidth="1"/>
    <col min="14" max="16" width="7.6640625" style="59" bestFit="1" customWidth="1"/>
    <col min="17" max="17" width="9.44140625" style="59" bestFit="1" customWidth="1"/>
    <col min="18" max="18" width="12.33203125" style="59" bestFit="1" customWidth="1"/>
    <col min="19" max="19" width="19.44140625" style="59" bestFit="1" customWidth="1"/>
    <col min="20" max="20" width="23.33203125" style="109" bestFit="1" customWidth="1"/>
    <col min="21" max="21" width="9.33203125" style="59" bestFit="1" customWidth="1"/>
    <col min="22" max="22" width="7.88671875" style="59" bestFit="1" customWidth="1"/>
    <col min="23" max="23" width="7.44140625" style="59" bestFit="1" customWidth="1"/>
    <col min="24" max="24" width="13" style="59" bestFit="1" customWidth="1"/>
    <col min="25" max="25" width="12.33203125" style="59" bestFit="1" customWidth="1"/>
    <col min="26" max="27" width="18.5546875" style="59" bestFit="1" customWidth="1"/>
    <col min="28" max="28" width="15.6640625" style="59" bestFit="1" customWidth="1"/>
    <col min="29" max="29" width="19.6640625" style="90" bestFit="1" customWidth="1"/>
    <col min="30" max="30" width="24.6640625" style="59" bestFit="1" customWidth="1"/>
    <col min="31" max="31" width="16.6640625" style="59" customWidth="1"/>
    <col min="32" max="16384" width="8.6640625" style="59"/>
  </cols>
  <sheetData>
    <row r="1" spans="1:32">
      <c r="A1" s="58" t="s">
        <v>6</v>
      </c>
      <c r="B1" s="344" t="s">
        <v>378</v>
      </c>
      <c r="C1" s="50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239">
        <v>1600</v>
      </c>
      <c r="L1" s="49" t="s">
        <v>534</v>
      </c>
      <c r="M1" s="57" t="s">
        <v>536</v>
      </c>
      <c r="N1" s="57" t="s">
        <v>536</v>
      </c>
      <c r="O1" s="57" t="s">
        <v>536</v>
      </c>
      <c r="P1" s="57" t="s">
        <v>536</v>
      </c>
      <c r="Q1" s="57" t="s">
        <v>536</v>
      </c>
      <c r="R1" s="57" t="s">
        <v>41</v>
      </c>
      <c r="S1" s="57" t="s">
        <v>536</v>
      </c>
      <c r="T1" s="57" t="s">
        <v>536</v>
      </c>
      <c r="U1" s="57" t="s">
        <v>312</v>
      </c>
      <c r="V1" s="57" t="s">
        <v>536</v>
      </c>
      <c r="W1" s="57" t="s">
        <v>536</v>
      </c>
      <c r="X1" s="57" t="s">
        <v>536</v>
      </c>
      <c r="Y1" s="57" t="s">
        <v>536</v>
      </c>
      <c r="Z1" s="57" t="s">
        <v>536</v>
      </c>
      <c r="AA1" s="57" t="s">
        <v>536</v>
      </c>
      <c r="AB1" s="56"/>
      <c r="AC1" s="56"/>
      <c r="AD1" s="56"/>
      <c r="AE1" s="57" t="s">
        <v>536</v>
      </c>
      <c r="AF1" s="57" t="s">
        <v>536</v>
      </c>
    </row>
    <row r="2" spans="1:32">
      <c r="A2" s="58" t="s">
        <v>6</v>
      </c>
      <c r="B2" s="344"/>
      <c r="C2" s="50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535</v>
      </c>
      <c r="M2" s="51"/>
      <c r="N2" s="51" t="s">
        <v>36</v>
      </c>
      <c r="O2" s="51"/>
      <c r="P2" s="51"/>
      <c r="Q2" s="51"/>
      <c r="R2" s="51" t="s">
        <v>370</v>
      </c>
      <c r="S2" s="51" t="s">
        <v>36</v>
      </c>
      <c r="T2" s="51" t="s">
        <v>36</v>
      </c>
      <c r="U2" s="51" t="s">
        <v>377</v>
      </c>
      <c r="V2" s="51" t="s">
        <v>36</v>
      </c>
      <c r="W2" s="51" t="s">
        <v>36</v>
      </c>
      <c r="X2" s="51" t="s">
        <v>36</v>
      </c>
      <c r="Y2" s="51" t="s">
        <v>36</v>
      </c>
      <c r="Z2" s="51" t="s">
        <v>36</v>
      </c>
      <c r="AA2" s="51" t="s">
        <v>36</v>
      </c>
      <c r="AB2" s="56"/>
      <c r="AC2" s="56"/>
      <c r="AD2" s="56"/>
      <c r="AE2" s="51" t="s">
        <v>36</v>
      </c>
      <c r="AF2" s="51" t="s">
        <v>36</v>
      </c>
    </row>
    <row r="3" spans="1:32">
      <c r="A3" s="58" t="s">
        <v>6</v>
      </c>
      <c r="B3" s="344"/>
      <c r="C3" s="50"/>
      <c r="D3" s="51"/>
      <c r="E3" s="56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 t="s">
        <v>1395</v>
      </c>
      <c r="S3" s="51"/>
      <c r="T3" s="51"/>
      <c r="U3" s="51" t="s">
        <v>36</v>
      </c>
      <c r="V3" s="51"/>
      <c r="W3" s="51"/>
      <c r="X3" s="51"/>
      <c r="Y3" s="51"/>
      <c r="Z3" s="52"/>
      <c r="AA3" s="52"/>
      <c r="AB3" s="56"/>
      <c r="AC3" s="56"/>
      <c r="AD3" s="56"/>
      <c r="AE3" s="51"/>
      <c r="AF3" s="52"/>
    </row>
    <row r="4" spans="1:32" ht="14.4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62"/>
      <c r="AC4" s="62"/>
      <c r="AD4" s="63"/>
    </row>
    <row r="5" spans="1:32" ht="15" thickBot="1">
      <c r="A5" s="60" t="s">
        <v>6</v>
      </c>
      <c r="B5" s="128" t="s">
        <v>15</v>
      </c>
      <c r="C5" s="368" t="s">
        <v>372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70"/>
      <c r="O5" s="366" t="s">
        <v>373</v>
      </c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</row>
    <row r="6" spans="1:32" ht="14.4" thickBot="1">
      <c r="A6" s="60" t="s">
        <v>6</v>
      </c>
      <c r="B6" s="64" t="s">
        <v>16</v>
      </c>
      <c r="O6" s="353" t="s">
        <v>374</v>
      </c>
      <c r="P6" s="354"/>
      <c r="Q6" s="355"/>
      <c r="R6" s="226"/>
      <c r="S6" s="363" t="s">
        <v>930</v>
      </c>
      <c r="T6" s="364"/>
      <c r="U6" s="364" t="s">
        <v>931</v>
      </c>
      <c r="V6" s="364"/>
      <c r="W6" s="364"/>
      <c r="X6" s="364"/>
      <c r="Y6" s="364"/>
      <c r="Z6" s="364"/>
      <c r="AA6" s="365"/>
      <c r="AB6" s="367" t="s">
        <v>376</v>
      </c>
      <c r="AC6" s="367"/>
      <c r="AD6" s="367"/>
      <c r="AE6" s="357" t="s">
        <v>1396</v>
      </c>
      <c r="AF6" s="357"/>
    </row>
    <row r="7" spans="1:32" s="71" customFormat="1" ht="14.4" thickBot="1">
      <c r="A7" s="66"/>
      <c r="B7" s="67" t="s">
        <v>17</v>
      </c>
      <c r="C7" s="93" t="s">
        <v>18</v>
      </c>
      <c r="D7" s="94" t="s">
        <v>19</v>
      </c>
      <c r="E7" s="67" t="s">
        <v>20</v>
      </c>
      <c r="F7" s="94" t="s">
        <v>21</v>
      </c>
      <c r="G7" s="93" t="s">
        <v>22</v>
      </c>
      <c r="H7" s="93" t="s">
        <v>23</v>
      </c>
      <c r="I7" s="70" t="s">
        <v>88</v>
      </c>
      <c r="J7" s="70" t="s">
        <v>89</v>
      </c>
      <c r="K7" s="70" t="s">
        <v>1335</v>
      </c>
      <c r="L7" s="93" t="s">
        <v>24</v>
      </c>
      <c r="M7" s="69" t="s">
        <v>42</v>
      </c>
      <c r="N7" s="67" t="s">
        <v>43</v>
      </c>
      <c r="O7" s="67" t="s">
        <v>25</v>
      </c>
      <c r="P7" s="67" t="s">
        <v>26</v>
      </c>
      <c r="Q7" s="67" t="s">
        <v>27</v>
      </c>
      <c r="R7" s="67" t="s">
        <v>369</v>
      </c>
      <c r="S7" s="67" t="s">
        <v>73</v>
      </c>
      <c r="T7" s="67" t="s">
        <v>92</v>
      </c>
      <c r="U7" s="67" t="s">
        <v>95</v>
      </c>
      <c r="V7" s="67" t="s">
        <v>29</v>
      </c>
      <c r="W7" s="95" t="s">
        <v>30</v>
      </c>
      <c r="X7" s="67" t="s">
        <v>31</v>
      </c>
      <c r="Y7" s="67" t="s">
        <v>32</v>
      </c>
      <c r="Z7" s="70" t="s">
        <v>93</v>
      </c>
      <c r="AA7" s="70" t="s">
        <v>94</v>
      </c>
      <c r="AB7" s="95" t="s">
        <v>71</v>
      </c>
      <c r="AC7" s="96" t="s">
        <v>44</v>
      </c>
      <c r="AD7" s="95" t="s">
        <v>33</v>
      </c>
      <c r="AE7" s="124" t="s">
        <v>1397</v>
      </c>
      <c r="AF7" s="124" t="s">
        <v>1398</v>
      </c>
    </row>
    <row r="8" spans="1:32" ht="14.4">
      <c r="B8" s="121" t="str">
        <f>Node!B8</f>
        <v>INVIHR11AMB1SAEC01NK</v>
      </c>
      <c r="C8" s="352" t="s">
        <v>52</v>
      </c>
      <c r="D8" s="72" t="s">
        <v>37</v>
      </c>
      <c r="E8" s="11">
        <f>'[2]CP-SIGNAL'!$H$7</f>
        <v>1102</v>
      </c>
      <c r="F8" s="129" t="s">
        <v>53</v>
      </c>
      <c r="G8" s="129" t="s">
        <v>169</v>
      </c>
      <c r="H8" s="129" t="s">
        <v>170</v>
      </c>
      <c r="I8" s="129" t="s">
        <v>932</v>
      </c>
      <c r="J8" s="129" t="s">
        <v>933</v>
      </c>
      <c r="K8" s="132" t="s">
        <v>36</v>
      </c>
      <c r="L8" s="72" t="s">
        <v>64</v>
      </c>
      <c r="M8" s="155" t="str">
        <f>""&amp;F8&amp;"-To-LEAF1"</f>
        <v>SIGNAL-LB1-Port1-To-LEAF1</v>
      </c>
      <c r="N8" s="160" t="s">
        <v>207</v>
      </c>
      <c r="O8" s="156">
        <v>100</v>
      </c>
      <c r="P8" s="156">
        <v>100</v>
      </c>
      <c r="Q8" s="156">
        <v>3</v>
      </c>
      <c r="R8" s="156" t="s">
        <v>370</v>
      </c>
      <c r="S8" s="74" t="str">
        <f>LEFT(H8,FIND("/",H8)-1)</f>
        <v>192.168.0.6</v>
      </c>
      <c r="T8" s="74" t="str">
        <f>LEFT(J8,FIND("/",J8)-1)</f>
        <v>2402:3a80:1fff:18::22</v>
      </c>
      <c r="U8" s="156" t="str">
        <f>U15</f>
        <v>NA</v>
      </c>
      <c r="V8" s="77">
        <v>65010</v>
      </c>
      <c r="W8" s="77">
        <v>65010</v>
      </c>
      <c r="X8" s="74" t="str">
        <f t="shared" ref="X8:Y11" si="0">LEFT(G8,FIND("/",G8)-1)</f>
        <v>192.168.0.5</v>
      </c>
      <c r="Y8" s="74" t="str">
        <f t="shared" si="0"/>
        <v>192.168.0.6</v>
      </c>
      <c r="Z8" s="74" t="str">
        <f t="shared" ref="Z8:Z11" si="1">LEFT(I8,FIND("/",I8)-1)</f>
        <v>2402:3a80:1fff:18::21</v>
      </c>
      <c r="AA8" s="74" t="str">
        <f t="shared" ref="AA8:AA11" si="2">LEFT(J8,FIND("/",J8)-1)</f>
        <v>2402:3a80:1fff:18::22</v>
      </c>
      <c r="AB8" s="73" t="str">
        <f>"vprn"&amp;N8&amp;"_import"</f>
        <v>vprn10_import</v>
      </c>
      <c r="AC8" s="73" t="str">
        <f>"vprn"&amp;N8&amp;"_bgp_export"</f>
        <v>vprn10_bgp_export</v>
      </c>
      <c r="AD8" s="73" t="str">
        <f>"prefix_vprn"&amp;N8&amp;"_loopbacks"</f>
        <v>prefix_vprn10_loopbacks</v>
      </c>
      <c r="AE8" s="59" t="s">
        <v>1415</v>
      </c>
      <c r="AF8" s="59">
        <v>0</v>
      </c>
    </row>
    <row r="9" spans="1:32" ht="14.4">
      <c r="B9" s="56" t="str">
        <f>B8</f>
        <v>INVIHR11AMB1SAEC01NK</v>
      </c>
      <c r="C9" s="352"/>
      <c r="D9" s="72" t="s">
        <v>38</v>
      </c>
      <c r="E9" s="11">
        <f>'[2]CP-SIGNAL'!$H$8</f>
        <v>1112</v>
      </c>
      <c r="F9" s="129" t="s">
        <v>54</v>
      </c>
      <c r="G9" s="129" t="s">
        <v>171</v>
      </c>
      <c r="H9" s="129" t="s">
        <v>172</v>
      </c>
      <c r="I9" s="129" t="s">
        <v>934</v>
      </c>
      <c r="J9" s="129" t="s">
        <v>935</v>
      </c>
      <c r="K9" s="132" t="s">
        <v>36</v>
      </c>
      <c r="L9" s="72" t="str">
        <f>L8</f>
        <v>Physical1</v>
      </c>
      <c r="M9" s="155" t="str">
        <f>""&amp;F9&amp;"-To-LEAF2"</f>
        <v>SIGNAL-LB1-Port2-To-LEAF2</v>
      </c>
      <c r="N9" s="12" t="s">
        <v>36</v>
      </c>
      <c r="O9" s="52">
        <f t="shared" ref="O9:Q11" si="3">O8</f>
        <v>100</v>
      </c>
      <c r="P9" s="52">
        <f t="shared" si="3"/>
        <v>100</v>
      </c>
      <c r="Q9" s="52">
        <f t="shared" si="3"/>
        <v>3</v>
      </c>
      <c r="R9" s="52" t="str">
        <f>R8</f>
        <v>Static</v>
      </c>
      <c r="S9" s="74" t="str">
        <f t="shared" ref="S9:S11" si="4">LEFT(H9,FIND("/",H9)-1)</f>
        <v>192.168.0.134</v>
      </c>
      <c r="T9" s="74" t="str">
        <f t="shared" ref="T9:T11" si="5">LEFT(J9,FIND("/",J9)-1)</f>
        <v>2402:3a80:1fff:18::26</v>
      </c>
      <c r="U9" s="52"/>
      <c r="V9" s="56"/>
      <c r="W9" s="56"/>
      <c r="X9" s="52" t="str">
        <f t="shared" si="0"/>
        <v>192.168.0.133</v>
      </c>
      <c r="Y9" s="52" t="str">
        <f t="shared" si="0"/>
        <v>192.168.0.134</v>
      </c>
      <c r="Z9" s="74" t="str">
        <f t="shared" si="1"/>
        <v>2402:3a80:1fff:18::25</v>
      </c>
      <c r="AA9" s="74" t="str">
        <f t="shared" si="2"/>
        <v>2402:3a80:1fff:18::26</v>
      </c>
      <c r="AB9" s="56"/>
      <c r="AC9" s="56"/>
      <c r="AD9" s="56"/>
      <c r="AE9" s="56"/>
      <c r="AF9" s="56"/>
    </row>
    <row r="10" spans="1:32" ht="14.4">
      <c r="B10" s="56" t="str">
        <f>B9</f>
        <v>INVIHR11AMB1SAEC01NK</v>
      </c>
      <c r="C10" s="352"/>
      <c r="D10" s="72" t="s">
        <v>39</v>
      </c>
      <c r="E10" s="11">
        <f>'[2]CP-SIGNAL'!$H$9</f>
        <v>1122</v>
      </c>
      <c r="F10" s="129" t="s">
        <v>55</v>
      </c>
      <c r="G10" s="129" t="s">
        <v>173</v>
      </c>
      <c r="H10" s="129" t="s">
        <v>174</v>
      </c>
      <c r="I10" s="129" t="s">
        <v>936</v>
      </c>
      <c r="J10" s="129" t="s">
        <v>937</v>
      </c>
      <c r="K10" s="132" t="s">
        <v>36</v>
      </c>
      <c r="L10" s="72" t="str">
        <f>L8</f>
        <v>Physical1</v>
      </c>
      <c r="M10" s="155" t="str">
        <f>""&amp;F10&amp;"-To-LEAF1"</f>
        <v>SIGNAL-LB2-Port1-To-LEAF1</v>
      </c>
      <c r="N10" s="12" t="s">
        <v>36</v>
      </c>
      <c r="O10" s="52">
        <f t="shared" si="3"/>
        <v>100</v>
      </c>
      <c r="P10" s="52">
        <f t="shared" si="3"/>
        <v>100</v>
      </c>
      <c r="Q10" s="52">
        <f t="shared" si="3"/>
        <v>3</v>
      </c>
      <c r="R10" s="52" t="str">
        <f>R9</f>
        <v>Static</v>
      </c>
      <c r="S10" s="74" t="str">
        <f>LEFT(H10,FIND("/",H10)-1)</f>
        <v>192.168.0.26</v>
      </c>
      <c r="T10" s="74" t="str">
        <f t="shared" si="5"/>
        <v>2402:3a80:1fff:18::2a</v>
      </c>
      <c r="U10" s="52"/>
      <c r="V10" s="56"/>
      <c r="W10" s="56"/>
      <c r="X10" s="52" t="str">
        <f t="shared" si="0"/>
        <v>192.168.0.25</v>
      </c>
      <c r="Y10" s="52" t="str">
        <f t="shared" si="0"/>
        <v>192.168.0.26</v>
      </c>
      <c r="Z10" s="74" t="str">
        <f t="shared" si="1"/>
        <v>2402:3a80:1fff:18::29</v>
      </c>
      <c r="AA10" s="74" t="str">
        <f t="shared" si="2"/>
        <v>2402:3a80:1fff:18::2a</v>
      </c>
      <c r="AB10" s="56"/>
      <c r="AC10" s="56"/>
      <c r="AD10" s="56"/>
      <c r="AE10" s="56"/>
      <c r="AF10" s="56"/>
    </row>
    <row r="11" spans="1:32" ht="14.4">
      <c r="B11" s="56" t="str">
        <f>B10</f>
        <v>INVIHR11AMB1SAEC01NK</v>
      </c>
      <c r="C11" s="352"/>
      <c r="D11" s="72" t="s">
        <v>40</v>
      </c>
      <c r="E11" s="11">
        <f>'[2]CP-SIGNAL'!$H$10</f>
        <v>1132</v>
      </c>
      <c r="F11" s="129" t="s">
        <v>56</v>
      </c>
      <c r="G11" s="129" t="s">
        <v>175</v>
      </c>
      <c r="H11" s="129" t="s">
        <v>176</v>
      </c>
      <c r="I11" s="129" t="s">
        <v>938</v>
      </c>
      <c r="J11" s="129" t="s">
        <v>939</v>
      </c>
      <c r="K11" s="132" t="s">
        <v>36</v>
      </c>
      <c r="L11" s="72" t="str">
        <f>L8</f>
        <v>Physical1</v>
      </c>
      <c r="M11" s="155" t="str">
        <f>""&amp;F11&amp;"-To-LEAF2"</f>
        <v>SIGNAL-LB2-Port2-To-LEAF2</v>
      </c>
      <c r="N11" s="12" t="s">
        <v>36</v>
      </c>
      <c r="O11" s="52">
        <f t="shared" si="3"/>
        <v>100</v>
      </c>
      <c r="P11" s="52">
        <f t="shared" si="3"/>
        <v>100</v>
      </c>
      <c r="Q11" s="52">
        <f t="shared" si="3"/>
        <v>3</v>
      </c>
      <c r="R11" s="52" t="str">
        <f>R10</f>
        <v>Static</v>
      </c>
      <c r="S11" s="74" t="str">
        <f t="shared" si="4"/>
        <v>192.168.0.154</v>
      </c>
      <c r="T11" s="74" t="str">
        <f t="shared" si="5"/>
        <v>2402:3a80:1fff:18::2e</v>
      </c>
      <c r="U11" s="52"/>
      <c r="V11" s="56"/>
      <c r="W11" s="56"/>
      <c r="X11" s="52" t="str">
        <f t="shared" si="0"/>
        <v>192.168.0.153</v>
      </c>
      <c r="Y11" s="52" t="str">
        <f t="shared" si="0"/>
        <v>192.168.0.154</v>
      </c>
      <c r="Z11" s="74" t="str">
        <f t="shared" si="1"/>
        <v>2402:3a80:1fff:18::2d</v>
      </c>
      <c r="AA11" s="74" t="str">
        <f t="shared" si="2"/>
        <v>2402:3a80:1fff:18::2e</v>
      </c>
      <c r="AB11" s="56"/>
      <c r="AC11" s="56"/>
      <c r="AD11" s="56"/>
      <c r="AE11" s="56"/>
      <c r="AF11" s="56"/>
    </row>
    <row r="12" spans="1:32" ht="14.4">
      <c r="B12" s="56" t="str">
        <f>B11</f>
        <v>INVIHR11AMB1SAEC01NK</v>
      </c>
      <c r="C12" s="352"/>
      <c r="D12" s="56"/>
      <c r="E12" s="56"/>
      <c r="F12" s="129" t="s">
        <v>112</v>
      </c>
      <c r="G12" s="80" t="str">
        <f>'[2]External Interfaces'!$G$9</f>
        <v>10.95.67.195/32</v>
      </c>
      <c r="H12" s="56" t="s">
        <v>36</v>
      </c>
      <c r="I12" s="75" t="str">
        <f>'[2]External Interfaces'!$H$9</f>
        <v>2402:8100:12::102/128</v>
      </c>
      <c r="J12" s="56" t="s">
        <v>36</v>
      </c>
      <c r="K12" s="52"/>
      <c r="L12" s="72" t="s">
        <v>68</v>
      </c>
      <c r="M12" s="155" t="s">
        <v>57</v>
      </c>
      <c r="N12" s="12" t="s">
        <v>36</v>
      </c>
      <c r="O12" s="56"/>
      <c r="P12" s="56"/>
      <c r="Q12" s="56"/>
      <c r="R12" s="56" t="s">
        <v>370</v>
      </c>
      <c r="S12" s="79" t="s">
        <v>36</v>
      </c>
      <c r="T12" s="79" t="s">
        <v>36</v>
      </c>
      <c r="U12" s="56"/>
      <c r="V12" s="56"/>
      <c r="W12" s="56"/>
      <c r="X12" s="56"/>
      <c r="Y12" s="56"/>
      <c r="Z12" s="56" t="s">
        <v>36</v>
      </c>
      <c r="AA12" s="56" t="str">
        <f t="shared" ref="AA12:AA13" si="6">Z12</f>
        <v>NA</v>
      </c>
      <c r="AB12" s="56" t="str">
        <f>AB8</f>
        <v>vprn10_import</v>
      </c>
      <c r="AC12" s="56" t="str">
        <f>AC8</f>
        <v>vprn10_bgp_export</v>
      </c>
      <c r="AD12" s="56" t="str">
        <f>AD8</f>
        <v>prefix_vprn10_loopbacks</v>
      </c>
      <c r="AE12" s="56"/>
      <c r="AF12" s="56"/>
    </row>
    <row r="13" spans="1:32" ht="15" thickBot="1">
      <c r="B13" s="84" t="str">
        <f>B12</f>
        <v>INVIHR11AMB1SAEC01NK</v>
      </c>
      <c r="C13" s="352"/>
      <c r="D13" s="84"/>
      <c r="E13" s="84"/>
      <c r="F13" s="129" t="s">
        <v>177</v>
      </c>
      <c r="G13" s="83" t="str">
        <f>'[2]External Interfaces'!$G$10</f>
        <v>10.95.67.196/32</v>
      </c>
      <c r="H13" s="56" t="s">
        <v>36</v>
      </c>
      <c r="I13" s="207" t="str">
        <f>'[2]External Interfaces'!$H$10</f>
        <v>2402:8100:12::103/128</v>
      </c>
      <c r="J13" s="56" t="s">
        <v>36</v>
      </c>
      <c r="K13" s="87"/>
      <c r="L13" s="85" t="str">
        <f>L12</f>
        <v>Loopback1</v>
      </c>
      <c r="M13" s="155" t="s">
        <v>58</v>
      </c>
      <c r="N13" s="12" t="s">
        <v>36</v>
      </c>
      <c r="O13" s="84"/>
      <c r="P13" s="84"/>
      <c r="Q13" s="84"/>
      <c r="R13" s="84" t="s">
        <v>370</v>
      </c>
      <c r="S13" s="79" t="s">
        <v>36</v>
      </c>
      <c r="T13" s="81" t="s">
        <v>36</v>
      </c>
      <c r="U13" s="84"/>
      <c r="V13" s="84"/>
      <c r="W13" s="84"/>
      <c r="X13" s="84"/>
      <c r="Y13" s="84"/>
      <c r="Z13" s="84" t="s">
        <v>36</v>
      </c>
      <c r="AA13" s="84" t="str">
        <f t="shared" si="6"/>
        <v>NA</v>
      </c>
      <c r="AB13" s="84" t="str">
        <f>AB8</f>
        <v>vprn10_import</v>
      </c>
      <c r="AC13" s="84" t="str">
        <f>AC12</f>
        <v>vprn10_bgp_export</v>
      </c>
      <c r="AD13" s="84" t="str">
        <f>AD12</f>
        <v>prefix_vprn10_loopbacks</v>
      </c>
      <c r="AE13" s="56"/>
      <c r="AF13" s="56"/>
    </row>
    <row r="14" spans="1:32" s="99" customFormat="1" ht="14.4" thickBot="1">
      <c r="A14" s="98"/>
      <c r="C14" s="100"/>
      <c r="F14" s="154"/>
      <c r="G14" s="100"/>
      <c r="M14" s="101"/>
      <c r="N14" s="16"/>
      <c r="T14" s="100"/>
      <c r="AE14" s="154"/>
      <c r="AF14" s="154"/>
    </row>
    <row r="15" spans="1:32" ht="14.4">
      <c r="B15" s="77" t="str">
        <f>B8</f>
        <v>INVIHR11AMB1SAEC01NK</v>
      </c>
      <c r="C15" s="352" t="s">
        <v>45</v>
      </c>
      <c r="D15" s="88" t="s">
        <v>37</v>
      </c>
      <c r="E15" s="28">
        <f>'[2]CP-BILLING'!$H$7</f>
        <v>1103</v>
      </c>
      <c r="F15" s="129" t="s">
        <v>46</v>
      </c>
      <c r="G15" s="129" t="s">
        <v>158</v>
      </c>
      <c r="H15" s="129" t="s">
        <v>159</v>
      </c>
      <c r="I15" s="129" t="s">
        <v>940</v>
      </c>
      <c r="J15" s="129" t="s">
        <v>941</v>
      </c>
      <c r="K15" s="132" t="s">
        <v>36</v>
      </c>
      <c r="L15" s="88" t="s">
        <v>65</v>
      </c>
      <c r="M15" s="52" t="str">
        <f>""&amp;F15&amp;"-To-LEAF1"</f>
        <v>BILLING-LB1-Port1-To-LEAF1</v>
      </c>
      <c r="N15" s="161">
        <v>11</v>
      </c>
      <c r="O15" s="161">
        <v>100</v>
      </c>
      <c r="P15" s="161">
        <v>100</v>
      </c>
      <c r="Q15" s="161">
        <v>3</v>
      </c>
      <c r="R15" s="161" t="s">
        <v>370</v>
      </c>
      <c r="S15" s="74" t="str">
        <f>LEFT(H15,FIND("/",H15)-1)</f>
        <v>192.168.0.10</v>
      </c>
      <c r="T15" s="74" t="str">
        <f>LEFT(J15,FIND("/",J15)-1)</f>
        <v>2402:3a80:1fff:18::32</v>
      </c>
      <c r="U15" s="161" t="s">
        <v>36</v>
      </c>
      <c r="V15" s="161">
        <v>65010</v>
      </c>
      <c r="W15" s="161">
        <v>65010</v>
      </c>
      <c r="X15" s="74" t="str">
        <f t="shared" ref="X15:Y18" si="7">LEFT(G15,FIND("/",G15)-1)</f>
        <v>192.168.0.9</v>
      </c>
      <c r="Y15" s="74" t="str">
        <f t="shared" si="7"/>
        <v>192.168.0.10</v>
      </c>
      <c r="Z15" s="74" t="str">
        <f t="shared" ref="Z15:Z18" si="8">LEFT(I15,FIND("/",I15)-1)</f>
        <v>2402:3a80:1fff:18::31</v>
      </c>
      <c r="AA15" s="74" t="str">
        <f t="shared" ref="AA15:AA18" si="9">LEFT(J15,FIND("/",J15)-1)</f>
        <v>2402:3a80:1fff:18::32</v>
      </c>
      <c r="AB15" s="73" t="str">
        <f>"vprn"&amp;N15&amp;"_import"</f>
        <v>vprn11_import</v>
      </c>
      <c r="AC15" s="73" t="str">
        <f>"vprn"&amp;N15&amp;"_bgp_export"</f>
        <v>vprn11_bgp_export</v>
      </c>
      <c r="AD15" s="73" t="str">
        <f>"prefix_vprn"&amp;N15&amp;"_loopbacks"</f>
        <v>prefix_vprn11_loopbacks</v>
      </c>
      <c r="AE15" s="59" t="s">
        <v>1415</v>
      </c>
      <c r="AF15" s="59">
        <v>0</v>
      </c>
    </row>
    <row r="16" spans="1:32" ht="14.4">
      <c r="B16" s="56" t="str">
        <f>B15</f>
        <v>INVIHR11AMB1SAEC01NK</v>
      </c>
      <c r="C16" s="352"/>
      <c r="D16" s="72" t="s">
        <v>38</v>
      </c>
      <c r="E16" s="28">
        <f>'[2]CP-BILLING'!$H$8</f>
        <v>1113</v>
      </c>
      <c r="F16" s="129" t="s">
        <v>47</v>
      </c>
      <c r="G16" s="129" t="s">
        <v>160</v>
      </c>
      <c r="H16" s="129" t="s">
        <v>161</v>
      </c>
      <c r="I16" s="129" t="s">
        <v>942</v>
      </c>
      <c r="J16" s="129" t="s">
        <v>943</v>
      </c>
      <c r="K16" s="132" t="s">
        <v>36</v>
      </c>
      <c r="L16" s="72" t="str">
        <f>L15</f>
        <v>Physical2</v>
      </c>
      <c r="M16" s="52" t="str">
        <f>""&amp;F16&amp;"-To-LEAF2"</f>
        <v>BILLING-LB1-Port2-To-LEAF2</v>
      </c>
      <c r="N16" s="12" t="s">
        <v>36</v>
      </c>
      <c r="O16" s="52">
        <f>O15</f>
        <v>100</v>
      </c>
      <c r="P16" s="52">
        <f>P15</f>
        <v>100</v>
      </c>
      <c r="Q16" s="52">
        <f>Q15</f>
        <v>3</v>
      </c>
      <c r="R16" s="52" t="str">
        <f>R15</f>
        <v>Static</v>
      </c>
      <c r="S16" s="74" t="str">
        <f t="shared" ref="S16:S18" si="10">LEFT(H16,FIND("/",H16)-1)</f>
        <v>192.168.0.138</v>
      </c>
      <c r="T16" s="74" t="str">
        <f t="shared" ref="T16:T18" si="11">LEFT(J16,FIND("/",J16)-1)</f>
        <v>2402:3a80:1fff:18::36</v>
      </c>
      <c r="U16" s="52"/>
      <c r="V16" s="56"/>
      <c r="W16" s="56"/>
      <c r="X16" s="52" t="str">
        <f t="shared" si="7"/>
        <v>192.168.0.137</v>
      </c>
      <c r="Y16" s="52" t="str">
        <f t="shared" si="7"/>
        <v>192.168.0.138</v>
      </c>
      <c r="Z16" s="74" t="str">
        <f t="shared" si="8"/>
        <v>2402:3a80:1fff:18::35</v>
      </c>
      <c r="AA16" s="74" t="str">
        <f t="shared" si="9"/>
        <v>2402:3a80:1fff:18::36</v>
      </c>
      <c r="AB16" s="56"/>
      <c r="AC16" s="56"/>
      <c r="AD16" s="56"/>
      <c r="AE16" s="56"/>
      <c r="AF16" s="56"/>
    </row>
    <row r="17" spans="1:32" ht="14.4">
      <c r="B17" s="56" t="str">
        <f t="shared" ref="B17:B21" si="12">B16</f>
        <v>INVIHR11AMB1SAEC01NK</v>
      </c>
      <c r="C17" s="352"/>
      <c r="D17" s="72" t="s">
        <v>39</v>
      </c>
      <c r="E17" s="28">
        <f>'[2]CP-BILLING'!$H$9</f>
        <v>1123</v>
      </c>
      <c r="F17" s="129" t="s">
        <v>48</v>
      </c>
      <c r="G17" s="129" t="s">
        <v>162</v>
      </c>
      <c r="H17" s="129" t="s">
        <v>163</v>
      </c>
      <c r="I17" s="129" t="s">
        <v>944</v>
      </c>
      <c r="J17" s="129" t="s">
        <v>945</v>
      </c>
      <c r="K17" s="132" t="s">
        <v>36</v>
      </c>
      <c r="L17" s="72" t="str">
        <f>L15</f>
        <v>Physical2</v>
      </c>
      <c r="M17" s="52" t="str">
        <f>""&amp;F17&amp;"-To-LEAF1"</f>
        <v>BILLING-LB2-Port1-To-LEAF1</v>
      </c>
      <c r="N17" s="12" t="s">
        <v>36</v>
      </c>
      <c r="O17" s="52">
        <f t="shared" ref="O17:Q18" si="13">O16</f>
        <v>100</v>
      </c>
      <c r="P17" s="52">
        <f t="shared" si="13"/>
        <v>100</v>
      </c>
      <c r="Q17" s="52">
        <f t="shared" si="13"/>
        <v>3</v>
      </c>
      <c r="R17" s="52" t="str">
        <f>R16</f>
        <v>Static</v>
      </c>
      <c r="S17" s="74" t="str">
        <f t="shared" si="10"/>
        <v>192.168.0.30</v>
      </c>
      <c r="T17" s="74" t="str">
        <f t="shared" si="11"/>
        <v>2402:3a80:1fff:18::3a</v>
      </c>
      <c r="U17" s="52"/>
      <c r="V17" s="56"/>
      <c r="W17" s="56"/>
      <c r="X17" s="52" t="str">
        <f t="shared" si="7"/>
        <v>192.168.0.29</v>
      </c>
      <c r="Y17" s="52" t="str">
        <f t="shared" si="7"/>
        <v>192.168.0.30</v>
      </c>
      <c r="Z17" s="74" t="str">
        <f t="shared" si="8"/>
        <v>2402:3a80:1fff:18::39</v>
      </c>
      <c r="AA17" s="74" t="str">
        <f t="shared" si="9"/>
        <v>2402:3a80:1fff:18::3a</v>
      </c>
      <c r="AB17" s="56"/>
      <c r="AC17" s="56"/>
      <c r="AD17" s="56"/>
      <c r="AE17" s="56"/>
      <c r="AF17" s="56"/>
    </row>
    <row r="18" spans="1:32" ht="14.4">
      <c r="B18" s="56" t="str">
        <f t="shared" si="12"/>
        <v>INVIHR11AMB1SAEC01NK</v>
      </c>
      <c r="C18" s="352"/>
      <c r="D18" s="72" t="s">
        <v>40</v>
      </c>
      <c r="E18" s="28">
        <f>'[2]CP-BILLING'!$H$10</f>
        <v>1133</v>
      </c>
      <c r="F18" s="129" t="s">
        <v>49</v>
      </c>
      <c r="G18" s="129" t="s">
        <v>164</v>
      </c>
      <c r="H18" s="129" t="s">
        <v>165</v>
      </c>
      <c r="I18" s="129" t="s">
        <v>946</v>
      </c>
      <c r="J18" s="129" t="s">
        <v>947</v>
      </c>
      <c r="K18" s="132" t="s">
        <v>36</v>
      </c>
      <c r="L18" s="72" t="str">
        <f>L15</f>
        <v>Physical2</v>
      </c>
      <c r="M18" s="52" t="str">
        <f>""&amp;F18&amp;"-To-LEAF2"</f>
        <v>BILLING-LB2-Port2-To-LEAF2</v>
      </c>
      <c r="N18" s="12" t="s">
        <v>36</v>
      </c>
      <c r="O18" s="52">
        <f t="shared" si="13"/>
        <v>100</v>
      </c>
      <c r="P18" s="52">
        <f t="shared" si="13"/>
        <v>100</v>
      </c>
      <c r="Q18" s="52">
        <f t="shared" si="13"/>
        <v>3</v>
      </c>
      <c r="R18" s="52" t="str">
        <f>R17</f>
        <v>Static</v>
      </c>
      <c r="S18" s="74" t="str">
        <f t="shared" si="10"/>
        <v>192.168.0.158</v>
      </c>
      <c r="T18" s="74" t="str">
        <f t="shared" si="11"/>
        <v>2402:3a80:1fff:18::3e</v>
      </c>
      <c r="U18" s="52"/>
      <c r="V18" s="56"/>
      <c r="W18" s="56"/>
      <c r="X18" s="52" t="str">
        <f t="shared" si="7"/>
        <v>192.168.0.157</v>
      </c>
      <c r="Y18" s="52" t="str">
        <f t="shared" si="7"/>
        <v>192.168.0.158</v>
      </c>
      <c r="Z18" s="74" t="str">
        <f t="shared" si="8"/>
        <v>2402:3a80:1fff:18::3d</v>
      </c>
      <c r="AA18" s="74" t="str">
        <f t="shared" si="9"/>
        <v>2402:3a80:1fff:18::3e</v>
      </c>
      <c r="AB18" s="56"/>
      <c r="AC18" s="56"/>
      <c r="AD18" s="56"/>
      <c r="AE18" s="56"/>
      <c r="AF18" s="56"/>
    </row>
    <row r="19" spans="1:32" ht="14.4">
      <c r="B19" s="56" t="str">
        <f t="shared" si="12"/>
        <v>INVIHR11AMB1SAEC01NK</v>
      </c>
      <c r="C19" s="352"/>
      <c r="D19" s="56"/>
      <c r="E19" s="52"/>
      <c r="F19" s="129" t="s">
        <v>166</v>
      </c>
      <c r="G19" s="75" t="str">
        <f>'[2]External Interfaces'!$G$11</f>
        <v>10.95.67.197/32</v>
      </c>
      <c r="H19" s="56" t="s">
        <v>36</v>
      </c>
      <c r="I19" s="75" t="str">
        <f>'[2]External Interfaces'!$H$11</f>
        <v>2402:8100:12::104/128</v>
      </c>
      <c r="J19" s="56" t="s">
        <v>36</v>
      </c>
      <c r="K19" s="52"/>
      <c r="L19" s="72" t="s">
        <v>69</v>
      </c>
      <c r="M19" s="52" t="s">
        <v>50</v>
      </c>
      <c r="N19" s="12" t="s">
        <v>36</v>
      </c>
      <c r="O19" s="56"/>
      <c r="P19" s="56"/>
      <c r="Q19" s="56"/>
      <c r="R19" s="52" t="str">
        <f t="shared" ref="R19:R21" si="14">R18</f>
        <v>Static</v>
      </c>
      <c r="S19" s="79" t="s">
        <v>36</v>
      </c>
      <c r="T19" s="79" t="s">
        <v>36</v>
      </c>
      <c r="U19" s="56"/>
      <c r="V19" s="56"/>
      <c r="W19" s="56"/>
      <c r="X19" s="52"/>
      <c r="Y19" s="56"/>
      <c r="Z19" s="56" t="s">
        <v>36</v>
      </c>
      <c r="AA19" s="56" t="str">
        <f t="shared" ref="AA19:AA20" si="15">Z19</f>
        <v>NA</v>
      </c>
      <c r="AB19" s="56" t="str">
        <f>AB15</f>
        <v>vprn11_import</v>
      </c>
      <c r="AC19" s="56" t="str">
        <f>AC15</f>
        <v>vprn11_bgp_export</v>
      </c>
      <c r="AD19" s="56" t="str">
        <f>AD15</f>
        <v>prefix_vprn11_loopbacks</v>
      </c>
      <c r="AE19" s="56"/>
      <c r="AF19" s="56"/>
    </row>
    <row r="20" spans="1:32" ht="14.4">
      <c r="B20" s="56" t="str">
        <f t="shared" si="12"/>
        <v>INVIHR11AMB1SAEC01NK</v>
      </c>
      <c r="C20" s="352"/>
      <c r="D20" s="103"/>
      <c r="E20" s="52"/>
      <c r="F20" s="129" t="s">
        <v>167</v>
      </c>
      <c r="G20" s="75" t="str">
        <f>'[2]External Interfaces'!$G$12</f>
        <v>10.95.67.198/32</v>
      </c>
      <c r="H20" s="56" t="s">
        <v>36</v>
      </c>
      <c r="I20" s="75" t="str">
        <f>'[2]External Interfaces'!$H$12</f>
        <v>2402:8100:12::105/128</v>
      </c>
      <c r="J20" s="56" t="s">
        <v>36</v>
      </c>
      <c r="K20" s="52"/>
      <c r="L20" s="72" t="str">
        <f>L19</f>
        <v>Loopback2</v>
      </c>
      <c r="M20" s="52" t="s">
        <v>51</v>
      </c>
      <c r="N20" s="12" t="s">
        <v>36</v>
      </c>
      <c r="O20" s="56"/>
      <c r="P20" s="56"/>
      <c r="Q20" s="56"/>
      <c r="R20" s="52" t="str">
        <f t="shared" si="14"/>
        <v>Static</v>
      </c>
      <c r="S20" s="79" t="s">
        <v>36</v>
      </c>
      <c r="T20" s="81" t="s">
        <v>36</v>
      </c>
      <c r="U20" s="56"/>
      <c r="V20" s="56"/>
      <c r="W20" s="56"/>
      <c r="X20" s="56"/>
      <c r="Y20" s="56"/>
      <c r="Z20" s="56" t="s">
        <v>36</v>
      </c>
      <c r="AA20" s="56" t="str">
        <f t="shared" si="15"/>
        <v>NA</v>
      </c>
      <c r="AB20" s="56" t="str">
        <f t="shared" ref="AB20:AD21" si="16">AB19</f>
        <v>vprn11_import</v>
      </c>
      <c r="AC20" s="56" t="str">
        <f t="shared" si="16"/>
        <v>vprn11_bgp_export</v>
      </c>
      <c r="AD20" s="56" t="str">
        <f t="shared" si="16"/>
        <v>prefix_vprn11_loopbacks</v>
      </c>
      <c r="AE20" s="56"/>
      <c r="AF20" s="56"/>
    </row>
    <row r="21" spans="1:32" ht="15" thickBot="1">
      <c r="B21" s="84" t="str">
        <f t="shared" si="12"/>
        <v>INVIHR11AMB1SAEC01NK</v>
      </c>
      <c r="C21" s="352"/>
      <c r="D21" s="84"/>
      <c r="E21" s="87"/>
      <c r="F21" s="129" t="s">
        <v>110</v>
      </c>
      <c r="G21" s="75" t="str">
        <f>'[2]External Interfaces'!$G$13</f>
        <v>10.95.67.199/32</v>
      </c>
      <c r="H21" s="56" t="s">
        <v>36</v>
      </c>
      <c r="I21" s="207" t="str">
        <f>'[2]External Interfaces'!$H$13</f>
        <v>2402:8100:12::106/128</v>
      </c>
      <c r="J21" s="84" t="s">
        <v>36</v>
      </c>
      <c r="K21" s="87"/>
      <c r="L21" s="85" t="str">
        <f>L20</f>
        <v>Loopback2</v>
      </c>
      <c r="M21" s="52" t="s">
        <v>168</v>
      </c>
      <c r="N21" s="12" t="s">
        <v>36</v>
      </c>
      <c r="O21" s="84"/>
      <c r="P21" s="84"/>
      <c r="Q21" s="84"/>
      <c r="R21" s="52" t="str">
        <f t="shared" si="14"/>
        <v>Static</v>
      </c>
      <c r="S21" s="79" t="s">
        <v>36</v>
      </c>
      <c r="T21" s="79" t="s">
        <v>36</v>
      </c>
      <c r="U21" s="84"/>
      <c r="V21" s="84"/>
      <c r="W21" s="84"/>
      <c r="X21" s="84"/>
      <c r="Y21" s="84"/>
      <c r="Z21" s="84" t="s">
        <v>36</v>
      </c>
      <c r="AA21" s="84" t="str">
        <f t="shared" ref="AA21" si="17">Z21</f>
        <v>NA</v>
      </c>
      <c r="AB21" s="84" t="str">
        <f t="shared" si="16"/>
        <v>vprn11_import</v>
      </c>
      <c r="AC21" s="84" t="str">
        <f t="shared" si="16"/>
        <v>vprn11_bgp_export</v>
      </c>
      <c r="AD21" s="84" t="str">
        <f t="shared" si="16"/>
        <v>prefix_vprn11_loopbacks</v>
      </c>
      <c r="AE21" s="56"/>
      <c r="AF21" s="56"/>
    </row>
    <row r="22" spans="1:32" s="91" customFormat="1" ht="14.4" thickBot="1">
      <c r="A22" s="104"/>
      <c r="C22" s="105"/>
      <c r="G22" s="105"/>
      <c r="M22" s="106"/>
      <c r="N22" s="15"/>
      <c r="T22" s="105"/>
    </row>
    <row r="23" spans="1:32" ht="14.4">
      <c r="B23" s="121" t="str">
        <f>B15</f>
        <v>INVIHR11AMB1SAEC01NK</v>
      </c>
      <c r="C23" s="371" t="s">
        <v>178</v>
      </c>
      <c r="D23" s="88" t="s">
        <v>37</v>
      </c>
      <c r="E23" s="28">
        <f>'[2]CP -LI'!$H$7</f>
        <v>1104</v>
      </c>
      <c r="F23" s="129" t="s">
        <v>59</v>
      </c>
      <c r="G23" s="129" t="s">
        <v>179</v>
      </c>
      <c r="H23" s="129" t="s">
        <v>180</v>
      </c>
      <c r="I23" s="129" t="s">
        <v>948</v>
      </c>
      <c r="J23" s="129" t="s">
        <v>949</v>
      </c>
      <c r="K23" s="132" t="s">
        <v>36</v>
      </c>
      <c r="L23" s="88" t="s">
        <v>66</v>
      </c>
      <c r="M23" s="52" t="str">
        <f>""&amp;F23&amp;"-To-LEAF1"</f>
        <v>LI-LB1-Port1-To-LEAF1</v>
      </c>
      <c r="N23" s="160" t="s">
        <v>208</v>
      </c>
      <c r="O23" s="161">
        <v>100</v>
      </c>
      <c r="P23" s="161">
        <v>100</v>
      </c>
      <c r="Q23" s="161">
        <v>3</v>
      </c>
      <c r="R23" s="161" t="s">
        <v>370</v>
      </c>
      <c r="S23" s="74" t="str">
        <f>LEFT(H23,FIND("/",H23)-1)</f>
        <v>192.168.0.14</v>
      </c>
      <c r="T23" s="74" t="str">
        <f>LEFT(J23,FIND("/",J23)-1)</f>
        <v>2402:3a80:1fff:18::42</v>
      </c>
      <c r="U23" s="161" t="str">
        <f>U8</f>
        <v>NA</v>
      </c>
      <c r="V23" s="161">
        <f>V8</f>
        <v>65010</v>
      </c>
      <c r="W23" s="161">
        <v>65010</v>
      </c>
      <c r="X23" s="74" t="str">
        <f t="shared" ref="X23:Y26" si="18">LEFT(G23,FIND("/",G23)-1)</f>
        <v>192.168.0.13</v>
      </c>
      <c r="Y23" s="74" t="str">
        <f t="shared" si="18"/>
        <v>192.168.0.14</v>
      </c>
      <c r="Z23" s="74" t="str">
        <f t="shared" ref="Z23:Z26" si="19">LEFT(I23,FIND("/",I23)-1)</f>
        <v>2402:3a80:1fff:18::41</v>
      </c>
      <c r="AA23" s="74" t="str">
        <f t="shared" ref="AA23:AA26" si="20">LEFT(J23,FIND("/",J23)-1)</f>
        <v>2402:3a80:1fff:18::42</v>
      </c>
      <c r="AB23" s="73" t="str">
        <f>"vprn"&amp;N23&amp;"_import"</f>
        <v>vprn12_import</v>
      </c>
      <c r="AC23" s="73" t="str">
        <f>"vprn"&amp;N23&amp;"_bgp_export"</f>
        <v>vprn12_bgp_export</v>
      </c>
      <c r="AD23" s="73" t="str">
        <f>"prefix_vprn"&amp;N23&amp;"_loopbacks"</f>
        <v>prefix_vprn12_loopbacks</v>
      </c>
      <c r="AE23" s="59" t="s">
        <v>1415</v>
      </c>
      <c r="AF23" s="59">
        <v>0</v>
      </c>
    </row>
    <row r="24" spans="1:32" ht="14.4">
      <c r="B24" s="56" t="str">
        <f>B23</f>
        <v>INVIHR11AMB1SAEC01NK</v>
      </c>
      <c r="C24" s="372"/>
      <c r="D24" s="72" t="s">
        <v>38</v>
      </c>
      <c r="E24" s="28">
        <f>'[2]CP -LI'!$H$8</f>
        <v>1114</v>
      </c>
      <c r="F24" s="129" t="s">
        <v>60</v>
      </c>
      <c r="G24" s="129" t="s">
        <v>181</v>
      </c>
      <c r="H24" s="129" t="s">
        <v>182</v>
      </c>
      <c r="I24" s="129" t="s">
        <v>950</v>
      </c>
      <c r="J24" s="129" t="s">
        <v>951</v>
      </c>
      <c r="K24" s="132" t="s">
        <v>36</v>
      </c>
      <c r="L24" s="72" t="str">
        <f>L23</f>
        <v>Physical3</v>
      </c>
      <c r="M24" s="52" t="str">
        <f>""&amp;F24&amp;"-To-LEAF2"</f>
        <v>LI-LB1-Port2-To-LEAF2</v>
      </c>
      <c r="N24" s="12" t="s">
        <v>36</v>
      </c>
      <c r="O24" s="52">
        <f t="shared" ref="O24:Q26" si="21">O23</f>
        <v>100</v>
      </c>
      <c r="P24" s="52">
        <f t="shared" si="21"/>
        <v>100</v>
      </c>
      <c r="Q24" s="52">
        <f t="shared" si="21"/>
        <v>3</v>
      </c>
      <c r="R24" s="52" t="str">
        <f>R23</f>
        <v>Static</v>
      </c>
      <c r="S24" s="74" t="str">
        <f t="shared" ref="S24:S26" si="22">LEFT(H24,FIND("/",H24)-1)</f>
        <v>192.168.0.142</v>
      </c>
      <c r="T24" s="74" t="str">
        <f t="shared" ref="T24:T26" si="23">LEFT(J24,FIND("/",J24)-1)</f>
        <v>2402:3a80:1fff:18::46</v>
      </c>
      <c r="U24" s="52"/>
      <c r="V24" s="56"/>
      <c r="W24" s="56"/>
      <c r="X24" s="52" t="str">
        <f t="shared" si="18"/>
        <v>192.168.0.141</v>
      </c>
      <c r="Y24" s="52" t="str">
        <f t="shared" si="18"/>
        <v>192.168.0.142</v>
      </c>
      <c r="Z24" s="74" t="str">
        <f t="shared" si="19"/>
        <v>2402:3a80:1fff:18::45</v>
      </c>
      <c r="AA24" s="74" t="str">
        <f t="shared" si="20"/>
        <v>2402:3a80:1fff:18::46</v>
      </c>
      <c r="AB24" s="56"/>
      <c r="AC24" s="56"/>
      <c r="AD24" s="56"/>
      <c r="AE24" s="56"/>
      <c r="AF24" s="56"/>
    </row>
    <row r="25" spans="1:32" ht="14.4">
      <c r="B25" s="56" t="str">
        <f>B24</f>
        <v>INVIHR11AMB1SAEC01NK</v>
      </c>
      <c r="C25" s="372"/>
      <c r="D25" s="72" t="s">
        <v>39</v>
      </c>
      <c r="E25" s="28">
        <f>'[2]CP -LI'!$H$9</f>
        <v>1124</v>
      </c>
      <c r="F25" s="129" t="s">
        <v>61</v>
      </c>
      <c r="G25" s="129" t="s">
        <v>183</v>
      </c>
      <c r="H25" s="129" t="s">
        <v>184</v>
      </c>
      <c r="I25" s="129" t="s">
        <v>952</v>
      </c>
      <c r="J25" s="129" t="s">
        <v>953</v>
      </c>
      <c r="K25" s="132" t="s">
        <v>36</v>
      </c>
      <c r="L25" s="72" t="str">
        <f>L23</f>
        <v>Physical3</v>
      </c>
      <c r="M25" s="52" t="str">
        <f>""&amp;F25&amp;"-To-LEAF1"</f>
        <v>LI-LB2-Port1-To-LEAF1</v>
      </c>
      <c r="N25" s="12" t="s">
        <v>36</v>
      </c>
      <c r="O25" s="52">
        <f t="shared" si="21"/>
        <v>100</v>
      </c>
      <c r="P25" s="52">
        <f t="shared" si="21"/>
        <v>100</v>
      </c>
      <c r="Q25" s="52">
        <f t="shared" si="21"/>
        <v>3</v>
      </c>
      <c r="R25" s="52" t="str">
        <f>R24</f>
        <v>Static</v>
      </c>
      <c r="S25" s="74" t="str">
        <f t="shared" si="22"/>
        <v>192.168.0.34</v>
      </c>
      <c r="T25" s="74" t="str">
        <f t="shared" si="23"/>
        <v>2402:3a80:1fff:18::4a</v>
      </c>
      <c r="U25" s="52"/>
      <c r="V25" s="56"/>
      <c r="W25" s="56"/>
      <c r="X25" s="52" t="str">
        <f t="shared" si="18"/>
        <v>192.168.0.33</v>
      </c>
      <c r="Y25" s="52" t="str">
        <f t="shared" si="18"/>
        <v>192.168.0.34</v>
      </c>
      <c r="Z25" s="74" t="str">
        <f t="shared" si="19"/>
        <v>2402:3a80:1fff:18::49</v>
      </c>
      <c r="AA25" s="74" t="str">
        <f t="shared" si="20"/>
        <v>2402:3a80:1fff:18::4a</v>
      </c>
      <c r="AB25" s="56"/>
      <c r="AC25" s="56"/>
      <c r="AD25" s="56"/>
      <c r="AE25" s="56"/>
      <c r="AF25" s="56"/>
    </row>
    <row r="26" spans="1:32" ht="14.4">
      <c r="B26" s="56" t="str">
        <f>B25</f>
        <v>INVIHR11AMB1SAEC01NK</v>
      </c>
      <c r="C26" s="372"/>
      <c r="D26" s="72" t="s">
        <v>40</v>
      </c>
      <c r="E26" s="28">
        <f>'[2]CP -LI'!$H$10</f>
        <v>1134</v>
      </c>
      <c r="F26" s="129" t="s">
        <v>62</v>
      </c>
      <c r="G26" s="129" t="s">
        <v>185</v>
      </c>
      <c r="H26" s="129" t="s">
        <v>186</v>
      </c>
      <c r="I26" s="129" t="s">
        <v>954</v>
      </c>
      <c r="J26" s="129" t="s">
        <v>955</v>
      </c>
      <c r="K26" s="132" t="s">
        <v>36</v>
      </c>
      <c r="L26" s="72" t="str">
        <f>L23</f>
        <v>Physical3</v>
      </c>
      <c r="M26" s="52" t="str">
        <f>""&amp;F26&amp;"-To-LEAF2"</f>
        <v>LI-LB2-Port2-To-LEAF2</v>
      </c>
      <c r="N26" s="12" t="s">
        <v>36</v>
      </c>
      <c r="O26" s="52">
        <f t="shared" si="21"/>
        <v>100</v>
      </c>
      <c r="P26" s="52">
        <f t="shared" si="21"/>
        <v>100</v>
      </c>
      <c r="Q26" s="52">
        <f t="shared" si="21"/>
        <v>3</v>
      </c>
      <c r="R26" s="52" t="str">
        <f>R25</f>
        <v>Static</v>
      </c>
      <c r="S26" s="74" t="str">
        <f t="shared" si="22"/>
        <v>192.168.0.162</v>
      </c>
      <c r="T26" s="74" t="str">
        <f t="shared" si="23"/>
        <v>2402:3a80:1fff:18::4e</v>
      </c>
      <c r="U26" s="52"/>
      <c r="V26" s="56"/>
      <c r="W26" s="56"/>
      <c r="X26" s="52" t="str">
        <f t="shared" si="18"/>
        <v>192.168.0.161</v>
      </c>
      <c r="Y26" s="52" t="str">
        <f t="shared" si="18"/>
        <v>192.168.0.162</v>
      </c>
      <c r="Z26" s="74" t="str">
        <f t="shared" si="19"/>
        <v>2402:3a80:1fff:18::4d</v>
      </c>
      <c r="AA26" s="74" t="str">
        <f t="shared" si="20"/>
        <v>2402:3a80:1fff:18::4e</v>
      </c>
      <c r="AB26" s="56"/>
      <c r="AC26" s="56"/>
      <c r="AD26" s="56"/>
      <c r="AE26" s="56"/>
      <c r="AF26" s="56"/>
    </row>
    <row r="27" spans="1:32" ht="15" thickBot="1">
      <c r="B27" s="56" t="str">
        <f>B26</f>
        <v>INVIHR11AMB1SAEC01NK</v>
      </c>
      <c r="C27" s="372"/>
      <c r="D27" s="27"/>
      <c r="E27" s="56"/>
      <c r="F27" s="129" t="s">
        <v>187</v>
      </c>
      <c r="G27" s="75" t="str">
        <f>'[2]External Interfaces'!$G$8</f>
        <v>10.95.67.200/32</v>
      </c>
      <c r="H27" s="56" t="s">
        <v>36</v>
      </c>
      <c r="I27" s="75" t="str">
        <f>'[2]External Interfaces'!$H$8</f>
        <v>2402:8100:12::107/128</v>
      </c>
      <c r="J27" s="56" t="s">
        <v>36</v>
      </c>
      <c r="K27" s="87"/>
      <c r="L27" s="72" t="s">
        <v>70</v>
      </c>
      <c r="M27" s="52" t="s">
        <v>63</v>
      </c>
      <c r="N27" s="12" t="s">
        <v>36</v>
      </c>
      <c r="O27" s="56"/>
      <c r="P27" s="56"/>
      <c r="Q27" s="56"/>
      <c r="R27" s="52" t="str">
        <f t="shared" ref="R27" si="24">R26</f>
        <v>Static</v>
      </c>
      <c r="S27" s="79" t="s">
        <v>36</v>
      </c>
      <c r="T27" s="79" t="s">
        <v>36</v>
      </c>
      <c r="U27" s="56"/>
      <c r="V27" s="56"/>
      <c r="W27" s="84"/>
      <c r="X27" s="56"/>
      <c r="Y27" s="56"/>
      <c r="Z27" s="56" t="s">
        <v>36</v>
      </c>
      <c r="AA27" s="56" t="str">
        <f t="shared" ref="AA27" si="25">Z27</f>
        <v>NA</v>
      </c>
      <c r="AB27" s="56" t="str">
        <f>AB23</f>
        <v>vprn12_import</v>
      </c>
      <c r="AC27" s="56" t="str">
        <f>AC23</f>
        <v>vprn12_bgp_export</v>
      </c>
      <c r="AD27" s="56" t="str">
        <f>AD23</f>
        <v>prefix_vprn12_loopbacks</v>
      </c>
      <c r="AE27" s="56"/>
      <c r="AF27" s="56"/>
    </row>
    <row r="28" spans="1:32" s="71" customFormat="1" ht="14.4" thickBot="1">
      <c r="A28" s="66"/>
      <c r="D28" s="27"/>
      <c r="T28" s="107"/>
    </row>
    <row r="29" spans="1:32">
      <c r="B29" s="121" t="str">
        <f>B15</f>
        <v>INVIHR11AMB1SAEC01NK</v>
      </c>
      <c r="C29" s="373" t="s">
        <v>198</v>
      </c>
      <c r="D29" s="64" t="s">
        <v>37</v>
      </c>
      <c r="E29" s="11">
        <f>'[2]CP -CORE'!$I$7</f>
        <v>1105</v>
      </c>
      <c r="F29" s="156" t="s">
        <v>365</v>
      </c>
      <c r="G29" s="156" t="s">
        <v>199</v>
      </c>
      <c r="H29" s="156" t="s">
        <v>200</v>
      </c>
      <c r="I29" s="156" t="s">
        <v>956</v>
      </c>
      <c r="J29" s="156" t="s">
        <v>957</v>
      </c>
      <c r="K29" s="156">
        <v>1600</v>
      </c>
      <c r="L29" s="72" t="s">
        <v>67</v>
      </c>
      <c r="M29" s="52" t="str">
        <f>""&amp;F29&amp;"-To-LEAF1"</f>
        <v>CP-CORE-LB1-Port1-To-LEAF1</v>
      </c>
      <c r="N29" s="161">
        <v>100</v>
      </c>
      <c r="O29" s="156">
        <v>100</v>
      </c>
      <c r="P29" s="156">
        <v>100</v>
      </c>
      <c r="Q29" s="156">
        <v>3</v>
      </c>
      <c r="R29" s="156" t="s">
        <v>41</v>
      </c>
      <c r="S29" s="74" t="str">
        <f>LEFT(H29,FIND("/",H29)-1)</f>
        <v>192.168.0.18</v>
      </c>
      <c r="T29" s="74" t="str">
        <f>LEFT(J29,FIND("/",J29)-1)</f>
        <v>2402:3a80:1fff:18::52</v>
      </c>
      <c r="U29" s="156" t="s">
        <v>312</v>
      </c>
      <c r="V29" s="156">
        <f>V8</f>
        <v>65010</v>
      </c>
      <c r="W29" s="161">
        <v>65010</v>
      </c>
      <c r="X29" s="74" t="str">
        <f t="shared" ref="X29:Y32" si="26">LEFT(G29,FIND("/",G29)-1)</f>
        <v>192.168.0.17</v>
      </c>
      <c r="Y29" s="74" t="str">
        <f t="shared" si="26"/>
        <v>192.168.0.18</v>
      </c>
      <c r="Z29" s="74" t="str">
        <f t="shared" ref="Z29:Z32" si="27">LEFT(I29,FIND("/",I29)-1)</f>
        <v>2402:3a80:1fff:18::51</v>
      </c>
      <c r="AA29" s="74" t="str">
        <f t="shared" ref="AA29:AA32" si="28">LEFT(J29,FIND("/",J29)-1)</f>
        <v>2402:3a80:1fff:18::52</v>
      </c>
      <c r="AB29" s="73" t="str">
        <f>"vprn"&amp;N29&amp;"_import"</f>
        <v>vprn100_import</v>
      </c>
      <c r="AC29" s="73" t="str">
        <f>"vprn"&amp;N29&amp;"_bgp_export"</f>
        <v>vprn100_bgp_export</v>
      </c>
      <c r="AD29" s="73" t="str">
        <f>"prefix_vprn"&amp;N29&amp;"_loopbacks"</f>
        <v>prefix_vprn100_loopbacks</v>
      </c>
      <c r="AE29" s="59" t="s">
        <v>1415</v>
      </c>
      <c r="AF29" s="59">
        <v>0</v>
      </c>
    </row>
    <row r="30" spans="1:32">
      <c r="B30" s="56" t="str">
        <f t="shared" ref="B30:B36" si="29">B29</f>
        <v>INVIHR11AMB1SAEC01NK</v>
      </c>
      <c r="C30" s="374"/>
      <c r="D30" s="64" t="s">
        <v>38</v>
      </c>
      <c r="E30" s="11">
        <f>'[2]CP -CORE'!$I$8</f>
        <v>1115</v>
      </c>
      <c r="F30" s="156" t="s">
        <v>366</v>
      </c>
      <c r="G30" s="156" t="s">
        <v>201</v>
      </c>
      <c r="H30" s="156" t="s">
        <v>202</v>
      </c>
      <c r="I30" s="156" t="s">
        <v>958</v>
      </c>
      <c r="J30" s="156" t="s">
        <v>959</v>
      </c>
      <c r="K30" s="156">
        <v>1600</v>
      </c>
      <c r="L30" s="72" t="str">
        <f>L29</f>
        <v>Physical4</v>
      </c>
      <c r="M30" s="52" t="str">
        <f>""&amp;F30&amp;"-To-LEAF2"</f>
        <v>CP-CORE-LB1-Port2-To-LEAF2</v>
      </c>
      <c r="N30" s="12" t="s">
        <v>36</v>
      </c>
      <c r="O30" s="52">
        <f t="shared" ref="O30:Q32" si="30">O29</f>
        <v>100</v>
      </c>
      <c r="P30" s="52">
        <f t="shared" si="30"/>
        <v>100</v>
      </c>
      <c r="Q30" s="52">
        <f t="shared" si="30"/>
        <v>3</v>
      </c>
      <c r="R30" s="52" t="str">
        <f>R29</f>
        <v>BGP</v>
      </c>
      <c r="S30" s="74" t="str">
        <f t="shared" ref="S30:S32" si="31">LEFT(H30,FIND("/",H30)-1)</f>
        <v>192.168.0.146</v>
      </c>
      <c r="T30" s="74" t="str">
        <f t="shared" ref="T30:T32" si="32">LEFT(J30,FIND("/",J30)-1)</f>
        <v>2402:3a80:1fff:18::56</v>
      </c>
      <c r="U30" s="52"/>
      <c r="V30" s="56"/>
      <c r="W30" s="56"/>
      <c r="X30" s="52" t="str">
        <f t="shared" si="26"/>
        <v>192.168.0.145</v>
      </c>
      <c r="Y30" s="52" t="str">
        <f t="shared" si="26"/>
        <v>192.168.0.146</v>
      </c>
      <c r="Z30" s="74" t="str">
        <f t="shared" si="27"/>
        <v>2402:3a80:1fff:18::55</v>
      </c>
      <c r="AA30" s="74" t="str">
        <f t="shared" si="28"/>
        <v>2402:3a80:1fff:18::56</v>
      </c>
      <c r="AB30" s="56"/>
      <c r="AC30" s="56"/>
      <c r="AD30" s="56"/>
      <c r="AE30" s="56"/>
      <c r="AF30" s="56"/>
    </row>
    <row r="31" spans="1:32">
      <c r="B31" s="56" t="str">
        <f t="shared" si="29"/>
        <v>INVIHR11AMB1SAEC01NK</v>
      </c>
      <c r="C31" s="374"/>
      <c r="D31" s="64" t="s">
        <v>39</v>
      </c>
      <c r="E31" s="11">
        <f>'[2]CP -CORE'!$I$9</f>
        <v>1125</v>
      </c>
      <c r="F31" s="156" t="s">
        <v>367</v>
      </c>
      <c r="G31" s="156" t="s">
        <v>203</v>
      </c>
      <c r="H31" s="156" t="s">
        <v>204</v>
      </c>
      <c r="I31" s="156" t="s">
        <v>960</v>
      </c>
      <c r="J31" s="156" t="s">
        <v>961</v>
      </c>
      <c r="K31" s="156">
        <v>1600</v>
      </c>
      <c r="L31" s="72" t="str">
        <f>L29</f>
        <v>Physical4</v>
      </c>
      <c r="M31" s="52" t="str">
        <f>""&amp;F31&amp;"-To-LEAF1"</f>
        <v>CP-CORE-LB2-Port1-To-LEAF1</v>
      </c>
      <c r="N31" s="12" t="s">
        <v>36</v>
      </c>
      <c r="O31" s="52">
        <f t="shared" si="30"/>
        <v>100</v>
      </c>
      <c r="P31" s="52">
        <f t="shared" si="30"/>
        <v>100</v>
      </c>
      <c r="Q31" s="52">
        <f t="shared" si="30"/>
        <v>3</v>
      </c>
      <c r="R31" s="52" t="str">
        <f>R30</f>
        <v>BGP</v>
      </c>
      <c r="S31" s="74" t="str">
        <f t="shared" si="31"/>
        <v>192.168.0.38</v>
      </c>
      <c r="T31" s="74" t="str">
        <f t="shared" si="32"/>
        <v>2402:3a80:1fff:18::5a</v>
      </c>
      <c r="U31" s="52"/>
      <c r="V31" s="56"/>
      <c r="W31" s="56"/>
      <c r="X31" s="52" t="str">
        <f t="shared" si="26"/>
        <v>192.168.0.37</v>
      </c>
      <c r="Y31" s="52" t="str">
        <f t="shared" si="26"/>
        <v>192.168.0.38</v>
      </c>
      <c r="Z31" s="74" t="str">
        <f t="shared" si="27"/>
        <v>2402:3a80:1fff:18::59</v>
      </c>
      <c r="AA31" s="74" t="str">
        <f t="shared" si="28"/>
        <v>2402:3a80:1fff:18::5a</v>
      </c>
      <c r="AB31" s="56"/>
      <c r="AC31" s="56"/>
      <c r="AD31" s="56"/>
      <c r="AE31" s="56"/>
      <c r="AF31" s="56"/>
    </row>
    <row r="32" spans="1:32">
      <c r="B32" s="56" t="str">
        <f t="shared" si="29"/>
        <v>INVIHR11AMB1SAEC01NK</v>
      </c>
      <c r="C32" s="374"/>
      <c r="D32" s="64" t="s">
        <v>40</v>
      </c>
      <c r="E32" s="11">
        <f>'[2]CP -CORE'!$I$10</f>
        <v>1135</v>
      </c>
      <c r="F32" s="156" t="s">
        <v>368</v>
      </c>
      <c r="G32" s="156" t="s">
        <v>205</v>
      </c>
      <c r="H32" s="156" t="s">
        <v>206</v>
      </c>
      <c r="I32" s="156" t="s">
        <v>962</v>
      </c>
      <c r="J32" s="156" t="s">
        <v>963</v>
      </c>
      <c r="K32" s="156">
        <v>1600</v>
      </c>
      <c r="L32" s="72" t="str">
        <f>L29</f>
        <v>Physical4</v>
      </c>
      <c r="M32" s="52" t="str">
        <f>""&amp;F32&amp;"-To-LEAF2"</f>
        <v>CP-CORE-LB2-Port2-To-LEAF2</v>
      </c>
      <c r="N32" s="12" t="s">
        <v>36</v>
      </c>
      <c r="O32" s="52">
        <f t="shared" si="30"/>
        <v>100</v>
      </c>
      <c r="P32" s="52">
        <f t="shared" si="30"/>
        <v>100</v>
      </c>
      <c r="Q32" s="52">
        <f t="shared" si="30"/>
        <v>3</v>
      </c>
      <c r="R32" s="52" t="str">
        <f>R31</f>
        <v>BGP</v>
      </c>
      <c r="S32" s="74" t="str">
        <f t="shared" si="31"/>
        <v>192.168.0.166</v>
      </c>
      <c r="T32" s="74" t="str">
        <f t="shared" si="32"/>
        <v>2402:3a80:1fff:18::5e</v>
      </c>
      <c r="U32" s="52"/>
      <c r="V32" s="56"/>
      <c r="W32" s="56"/>
      <c r="X32" s="52" t="str">
        <f t="shared" si="26"/>
        <v>192.168.0.165</v>
      </c>
      <c r="Y32" s="52" t="str">
        <f t="shared" si="26"/>
        <v>192.168.0.166</v>
      </c>
      <c r="Z32" s="74" t="str">
        <f t="shared" si="27"/>
        <v>2402:3a80:1fff:18::5d</v>
      </c>
      <c r="AA32" s="74" t="str">
        <f t="shared" si="28"/>
        <v>2402:3a80:1fff:18::5e</v>
      </c>
      <c r="AB32" s="56"/>
      <c r="AC32" s="56"/>
      <c r="AD32" s="56"/>
      <c r="AE32" s="56"/>
      <c r="AF32" s="56"/>
    </row>
    <row r="33" spans="1:32">
      <c r="B33" s="56" t="str">
        <f t="shared" si="29"/>
        <v>INVIHR11AMB1SAEC01NK</v>
      </c>
      <c r="C33" s="374"/>
      <c r="D33" s="27"/>
      <c r="E33" s="52"/>
      <c r="F33" s="156" t="s">
        <v>552</v>
      </c>
      <c r="G33" s="80" t="str">
        <f>'[2]External Interfaces'!$G$14</f>
        <v>203.88.25.2/32</v>
      </c>
      <c r="H33" s="56" t="s">
        <v>36</v>
      </c>
      <c r="I33" s="207" t="str">
        <f>'[2]External Interfaces'!$H$14</f>
        <v>2402:8100:12::108/128</v>
      </c>
      <c r="J33" s="84" t="s">
        <v>36</v>
      </c>
      <c r="K33" s="84"/>
      <c r="L33" s="72" t="s">
        <v>72</v>
      </c>
      <c r="M33" s="52" t="str">
        <f>F33</f>
        <v>CPF_s4-s11-Loopback</v>
      </c>
      <c r="N33" s="12" t="s">
        <v>36</v>
      </c>
      <c r="O33" s="56"/>
      <c r="P33" s="56"/>
      <c r="Q33" s="56"/>
      <c r="R33" s="52" t="str">
        <f t="shared" ref="R33:R36" si="33">R32</f>
        <v>BGP</v>
      </c>
      <c r="S33" s="79" t="s">
        <v>36</v>
      </c>
      <c r="T33" s="79" t="s">
        <v>36</v>
      </c>
      <c r="U33" s="56"/>
      <c r="V33" s="56"/>
      <c r="W33" s="56"/>
      <c r="X33" s="56"/>
      <c r="Y33" s="56"/>
      <c r="Z33" s="56" t="s">
        <v>36</v>
      </c>
      <c r="AA33" s="56" t="str">
        <f t="shared" ref="AA33:AA36" si="34">Z33</f>
        <v>NA</v>
      </c>
      <c r="AB33" s="56" t="str">
        <f>AB29</f>
        <v>vprn100_import</v>
      </c>
      <c r="AC33" s="56" t="str">
        <f>AC29</f>
        <v>vprn100_bgp_export</v>
      </c>
      <c r="AD33" s="56" t="str">
        <f>AD29</f>
        <v>prefix_vprn100_loopbacks</v>
      </c>
      <c r="AE33" s="56"/>
      <c r="AF33" s="56"/>
    </row>
    <row r="34" spans="1:32">
      <c r="B34" s="84" t="str">
        <f t="shared" si="29"/>
        <v>INVIHR11AMB1SAEC01NK</v>
      </c>
      <c r="C34" s="374"/>
      <c r="D34" s="27"/>
      <c r="E34" s="87"/>
      <c r="F34" s="156" t="s">
        <v>553</v>
      </c>
      <c r="G34" s="146" t="str">
        <f>'[2]External Interfaces'!$G$15</f>
        <v>203.88.25.0/32</v>
      </c>
      <c r="H34" s="56" t="s">
        <v>36</v>
      </c>
      <c r="I34" s="207" t="str">
        <f>'[2]External Interfaces'!$H$15</f>
        <v>2402:8100:12::10a/128</v>
      </c>
      <c r="J34" s="84" t="s">
        <v>36</v>
      </c>
      <c r="K34" s="84"/>
      <c r="L34" s="72" t="str">
        <f>L33</f>
        <v>Loopback4</v>
      </c>
      <c r="M34" s="52" t="str">
        <f t="shared" ref="M34:M36" si="35">F34</f>
        <v>CPF_SGW-S5-S8_Gn_Gp-Loopback</v>
      </c>
      <c r="N34" s="12" t="s">
        <v>36</v>
      </c>
      <c r="O34" s="84"/>
      <c r="P34" s="84"/>
      <c r="Q34" s="84"/>
      <c r="R34" s="52" t="str">
        <f t="shared" si="33"/>
        <v>BGP</v>
      </c>
      <c r="S34" s="79" t="s">
        <v>36</v>
      </c>
      <c r="T34" s="79" t="s">
        <v>36</v>
      </c>
      <c r="U34" s="84"/>
      <c r="V34" s="84"/>
      <c r="W34" s="84"/>
      <c r="X34" s="84"/>
      <c r="Y34" s="84"/>
      <c r="Z34" s="56" t="s">
        <v>36</v>
      </c>
      <c r="AA34" s="56" t="str">
        <f t="shared" si="34"/>
        <v>NA</v>
      </c>
      <c r="AB34" s="84" t="str">
        <f t="shared" ref="AB34:AD36" si="36">AB33</f>
        <v>vprn100_import</v>
      </c>
      <c r="AC34" s="84" t="str">
        <f t="shared" si="36"/>
        <v>vprn100_bgp_export</v>
      </c>
      <c r="AD34" s="84" t="str">
        <f t="shared" si="36"/>
        <v>prefix_vprn100_loopbacks</v>
      </c>
      <c r="AE34" s="56"/>
      <c r="AF34" s="56"/>
    </row>
    <row r="35" spans="1:32">
      <c r="B35" s="84" t="str">
        <f t="shared" si="29"/>
        <v>INVIHR11AMB1SAEC01NK</v>
      </c>
      <c r="C35" s="374"/>
      <c r="D35" s="27"/>
      <c r="E35" s="92"/>
      <c r="F35" s="156" t="s">
        <v>554</v>
      </c>
      <c r="G35" s="146" t="str">
        <f>'[2]External Interfaces'!$G$16</f>
        <v>203.88.25.1/32</v>
      </c>
      <c r="H35" s="56" t="s">
        <v>36</v>
      </c>
      <c r="I35" s="207" t="str">
        <f>'[2]External Interfaces'!$H$16</f>
        <v>2402:8100:12::109/128</v>
      </c>
      <c r="J35" s="84" t="s">
        <v>36</v>
      </c>
      <c r="K35" s="84"/>
      <c r="L35" s="72" t="s">
        <v>72</v>
      </c>
      <c r="M35" s="52" t="str">
        <f t="shared" si="35"/>
        <v>CPF_PGW-Gn-Gp-S5-S8-Loopback</v>
      </c>
      <c r="N35" s="12" t="s">
        <v>36</v>
      </c>
      <c r="O35" s="90"/>
      <c r="P35" s="90"/>
      <c r="Q35" s="90"/>
      <c r="R35" s="52" t="str">
        <f t="shared" si="33"/>
        <v>BGP</v>
      </c>
      <c r="S35" s="79" t="s">
        <v>36</v>
      </c>
      <c r="T35" s="79" t="s">
        <v>36</v>
      </c>
      <c r="U35" s="90"/>
      <c r="V35" s="90"/>
      <c r="W35" s="90"/>
      <c r="X35" s="90"/>
      <c r="Y35" s="90"/>
      <c r="Z35" s="56" t="s">
        <v>36</v>
      </c>
      <c r="AA35" s="56" t="str">
        <f t="shared" si="34"/>
        <v>NA</v>
      </c>
      <c r="AB35" s="84" t="str">
        <f t="shared" si="36"/>
        <v>vprn100_import</v>
      </c>
      <c r="AC35" s="84" t="str">
        <f t="shared" si="36"/>
        <v>vprn100_bgp_export</v>
      </c>
      <c r="AD35" s="84" t="str">
        <f t="shared" si="36"/>
        <v>prefix_vprn100_loopbacks</v>
      </c>
      <c r="AE35" s="56"/>
      <c r="AF35" s="56"/>
    </row>
    <row r="36" spans="1:32" ht="14.4" thickBot="1">
      <c r="B36" s="84" t="str">
        <f t="shared" si="29"/>
        <v>INVIHR11AMB1SAEC01NK</v>
      </c>
      <c r="C36" s="375"/>
      <c r="D36" s="29"/>
      <c r="E36" s="92"/>
      <c r="F36" s="157" t="s">
        <v>555</v>
      </c>
      <c r="G36" s="146" t="str">
        <f>'[2]External Interfaces'!$G$17</f>
        <v>10.95.67.202/32</v>
      </c>
      <c r="H36" s="56" t="s">
        <v>36</v>
      </c>
      <c r="I36" s="207" t="str">
        <f>'[2]External Interfaces'!$H$17</f>
        <v>2402:8100:12::10b/128</v>
      </c>
      <c r="J36" s="84" t="s">
        <v>36</v>
      </c>
      <c r="K36" s="84"/>
      <c r="L36" s="85" t="str">
        <f>L35</f>
        <v>Loopback4</v>
      </c>
      <c r="M36" s="87" t="str">
        <f t="shared" si="35"/>
        <v>CPF_Sx-Loopback</v>
      </c>
      <c r="N36" s="14" t="s">
        <v>36</v>
      </c>
      <c r="O36" s="90"/>
      <c r="P36" s="90"/>
      <c r="Q36" s="90"/>
      <c r="R36" s="87" t="str">
        <f t="shared" si="33"/>
        <v>BGP</v>
      </c>
      <c r="S36" s="79" t="s">
        <v>36</v>
      </c>
      <c r="T36" s="153" t="s">
        <v>36</v>
      </c>
      <c r="U36" s="90"/>
      <c r="V36" s="90"/>
      <c r="W36" s="90"/>
      <c r="X36" s="90"/>
      <c r="Y36" s="90"/>
      <c r="Z36" s="84" t="s">
        <v>36</v>
      </c>
      <c r="AA36" s="84" t="str">
        <f t="shared" si="34"/>
        <v>NA</v>
      </c>
      <c r="AB36" s="84" t="str">
        <f t="shared" si="36"/>
        <v>vprn100_import</v>
      </c>
      <c r="AC36" s="84" t="str">
        <f t="shared" si="36"/>
        <v>vprn100_bgp_export</v>
      </c>
      <c r="AD36" s="84" t="str">
        <f t="shared" si="36"/>
        <v>prefix_vprn100_loopbacks</v>
      </c>
      <c r="AE36" s="56"/>
      <c r="AF36" s="56"/>
    </row>
    <row r="37" spans="1:32" s="91" customFormat="1" ht="14.4" thickBot="1">
      <c r="A37" s="104"/>
      <c r="C37" s="105"/>
      <c r="D37" s="16"/>
      <c r="F37" s="99"/>
      <c r="G37" s="105"/>
      <c r="N37" s="15"/>
      <c r="T37" s="105"/>
    </row>
    <row r="38" spans="1:32">
      <c r="B38" s="122" t="str">
        <f>Node!B9</f>
        <v>INVIHR11AMB1SAEU01NK</v>
      </c>
      <c r="C38" s="371" t="s">
        <v>188</v>
      </c>
      <c r="D38" s="64" t="s">
        <v>37</v>
      </c>
      <c r="E38" s="28">
        <f>'[2]UP -LI'!$H$7</f>
        <v>1110</v>
      </c>
      <c r="F38" s="156" t="s">
        <v>361</v>
      </c>
      <c r="G38" s="156" t="s">
        <v>189</v>
      </c>
      <c r="H38" s="156" t="s">
        <v>190</v>
      </c>
      <c r="I38" s="156" t="s">
        <v>964</v>
      </c>
      <c r="J38" s="156" t="s">
        <v>965</v>
      </c>
      <c r="K38" s="132" t="s">
        <v>36</v>
      </c>
      <c r="L38" s="88" t="s">
        <v>64</v>
      </c>
      <c r="M38" s="74" t="str">
        <f>""&amp;F38&amp;"-To-LEAF1"</f>
        <v>UP-LI-LB1-Port1-To-LEAF1</v>
      </c>
      <c r="N38" s="161">
        <v>13</v>
      </c>
      <c r="O38" s="161">
        <v>100</v>
      </c>
      <c r="P38" s="161">
        <v>100</v>
      </c>
      <c r="Q38" s="161">
        <v>3</v>
      </c>
      <c r="R38" s="161" t="s">
        <v>370</v>
      </c>
      <c r="S38" s="74" t="str">
        <f>LEFT(H38,FIND("/",H38)-1)</f>
        <v>192.168.1.6</v>
      </c>
      <c r="T38" s="74" t="str">
        <f>LEFT(J38,FIND("/",J38)-1)</f>
        <v>2402:3a80:1fff:18::62</v>
      </c>
      <c r="U38" s="161" t="s">
        <v>312</v>
      </c>
      <c r="V38" s="161">
        <f>V8</f>
        <v>65010</v>
      </c>
      <c r="W38" s="161">
        <v>65010</v>
      </c>
      <c r="X38" s="74" t="str">
        <f t="shared" ref="X38:X41" si="37">LEFT(G38,FIND("/",G38)-1)</f>
        <v>192.168.1.5</v>
      </c>
      <c r="Y38" s="74" t="str">
        <f t="shared" ref="Y38:Y41" si="38">LEFT(H38,FIND("/",H38)-1)</f>
        <v>192.168.1.6</v>
      </c>
      <c r="Z38" s="74" t="str">
        <f t="shared" ref="Z38:Z41" si="39">LEFT(I38,FIND("/",I38)-1)</f>
        <v>2402:3a80:1fff:18::61</v>
      </c>
      <c r="AA38" s="74" t="str">
        <f t="shared" ref="AA38:AA41" si="40">LEFT(J38,FIND("/",J38)-1)</f>
        <v>2402:3a80:1fff:18::62</v>
      </c>
      <c r="AB38" s="73" t="str">
        <f>"vprn"&amp;N38&amp;"_import"</f>
        <v>vprn13_import</v>
      </c>
      <c r="AC38" s="73" t="str">
        <f>"vprn"&amp;N38&amp;"_bgp_export"</f>
        <v>vprn13_bgp_export</v>
      </c>
      <c r="AD38" s="73" t="str">
        <f>"prefix_vprn"&amp;N38&amp;"_loopbacks"</f>
        <v>prefix_vprn13_loopbacks</v>
      </c>
      <c r="AE38" s="56" t="s">
        <v>1415</v>
      </c>
      <c r="AF38" s="56">
        <v>0</v>
      </c>
    </row>
    <row r="39" spans="1:32">
      <c r="B39" s="59" t="str">
        <f>B38</f>
        <v>INVIHR11AMB1SAEU01NK</v>
      </c>
      <c r="C39" s="372"/>
      <c r="D39" s="64" t="s">
        <v>38</v>
      </c>
      <c r="E39" s="28">
        <f>'[2]UP -LI'!$H$8</f>
        <v>1120</v>
      </c>
      <c r="F39" s="156" t="s">
        <v>362</v>
      </c>
      <c r="G39" s="156" t="s">
        <v>191</v>
      </c>
      <c r="H39" s="156" t="s">
        <v>192</v>
      </c>
      <c r="I39" s="156" t="s">
        <v>966</v>
      </c>
      <c r="J39" s="156" t="s">
        <v>967</v>
      </c>
      <c r="K39" s="132" t="s">
        <v>36</v>
      </c>
      <c r="L39" s="72" t="str">
        <f>L38</f>
        <v>Physical1</v>
      </c>
      <c r="M39" s="52" t="str">
        <f>""&amp;F39&amp;"-To-LEAF2"</f>
        <v>UP-LI-LB1-Port2-To-LEAF2</v>
      </c>
      <c r="N39" s="12" t="s">
        <v>36</v>
      </c>
      <c r="O39" s="52">
        <f t="shared" ref="O39:Q39" si="41">O38</f>
        <v>100</v>
      </c>
      <c r="P39" s="52">
        <f t="shared" si="41"/>
        <v>100</v>
      </c>
      <c r="Q39" s="52">
        <f t="shared" si="41"/>
        <v>3</v>
      </c>
      <c r="R39" s="52" t="str">
        <f>R38</f>
        <v>Static</v>
      </c>
      <c r="S39" s="74" t="str">
        <f t="shared" ref="S39:S41" si="42">LEFT(H39,FIND("/",H39)-1)</f>
        <v>192.168.2.6</v>
      </c>
      <c r="T39" s="74" t="str">
        <f t="shared" ref="T39:T41" si="43">LEFT(J39,FIND("/",J39)-1)</f>
        <v>2402:3a80:1fff:18::66</v>
      </c>
      <c r="U39" s="52"/>
      <c r="V39" s="56"/>
      <c r="W39" s="56"/>
      <c r="X39" s="52" t="str">
        <f t="shared" si="37"/>
        <v>192.168.2.5</v>
      </c>
      <c r="Y39" s="52" t="str">
        <f t="shared" si="38"/>
        <v>192.168.2.6</v>
      </c>
      <c r="Z39" s="74" t="str">
        <f t="shared" si="39"/>
        <v>2402:3a80:1fff:18::65</v>
      </c>
      <c r="AA39" s="74" t="str">
        <f t="shared" si="40"/>
        <v>2402:3a80:1fff:18::66</v>
      </c>
      <c r="AB39" s="56"/>
      <c r="AC39" s="56"/>
      <c r="AD39" s="56"/>
      <c r="AE39" s="56"/>
      <c r="AF39" s="56"/>
    </row>
    <row r="40" spans="1:32">
      <c r="B40" s="59" t="str">
        <f t="shared" ref="B40:B42" si="44">B39</f>
        <v>INVIHR11AMB1SAEU01NK</v>
      </c>
      <c r="C40" s="372"/>
      <c r="D40" s="64" t="s">
        <v>39</v>
      </c>
      <c r="E40" s="28">
        <f>'[2]UP -LI'!$H$9</f>
        <v>1130</v>
      </c>
      <c r="F40" s="156" t="s">
        <v>363</v>
      </c>
      <c r="G40" s="156" t="s">
        <v>193</v>
      </c>
      <c r="H40" s="156" t="s">
        <v>194</v>
      </c>
      <c r="I40" s="156" t="s">
        <v>968</v>
      </c>
      <c r="J40" s="156" t="s">
        <v>969</v>
      </c>
      <c r="K40" s="132" t="s">
        <v>36</v>
      </c>
      <c r="L40" s="72" t="str">
        <f>L38</f>
        <v>Physical1</v>
      </c>
      <c r="M40" s="52" t="str">
        <f>""&amp;F40&amp;"-To-LEAF1"</f>
        <v>UP-LI-LB2-Port1-To-LEAF1</v>
      </c>
      <c r="N40" s="12" t="s">
        <v>36</v>
      </c>
      <c r="O40" s="52">
        <f t="shared" ref="O40:Q40" si="45">O39</f>
        <v>100</v>
      </c>
      <c r="P40" s="52">
        <f t="shared" si="45"/>
        <v>100</v>
      </c>
      <c r="Q40" s="52">
        <f t="shared" si="45"/>
        <v>3</v>
      </c>
      <c r="R40" s="52" t="str">
        <f>R38</f>
        <v>Static</v>
      </c>
      <c r="S40" s="74" t="str">
        <f t="shared" si="42"/>
        <v>192.168.1.102</v>
      </c>
      <c r="T40" s="74" t="str">
        <f t="shared" si="43"/>
        <v>2402:3a80:1fff:18::6a</v>
      </c>
      <c r="U40" s="52"/>
      <c r="V40" s="56"/>
      <c r="W40" s="56"/>
      <c r="X40" s="52" t="str">
        <f t="shared" si="37"/>
        <v>192.168.1.101</v>
      </c>
      <c r="Y40" s="52" t="str">
        <f t="shared" si="38"/>
        <v>192.168.1.102</v>
      </c>
      <c r="Z40" s="74" t="str">
        <f t="shared" si="39"/>
        <v>2402:3a80:1fff:18::69</v>
      </c>
      <c r="AA40" s="74" t="str">
        <f t="shared" si="40"/>
        <v>2402:3a80:1fff:18::6a</v>
      </c>
      <c r="AB40" s="56"/>
      <c r="AC40" s="56"/>
      <c r="AD40" s="56"/>
      <c r="AE40" s="56"/>
      <c r="AF40" s="56"/>
    </row>
    <row r="41" spans="1:32">
      <c r="B41" s="59" t="str">
        <f t="shared" si="44"/>
        <v>INVIHR11AMB1SAEU01NK</v>
      </c>
      <c r="C41" s="372"/>
      <c r="D41" s="64" t="s">
        <v>40</v>
      </c>
      <c r="E41" s="28">
        <f>'[2]UP -LI'!$H$10</f>
        <v>1140</v>
      </c>
      <c r="F41" s="156" t="s">
        <v>364</v>
      </c>
      <c r="G41" s="156" t="s">
        <v>195</v>
      </c>
      <c r="H41" s="156" t="s">
        <v>196</v>
      </c>
      <c r="I41" s="156" t="s">
        <v>970</v>
      </c>
      <c r="J41" s="156" t="s">
        <v>971</v>
      </c>
      <c r="K41" s="132" t="s">
        <v>36</v>
      </c>
      <c r="L41" s="72" t="str">
        <f>L38</f>
        <v>Physical1</v>
      </c>
      <c r="M41" s="52" t="str">
        <f>""&amp;F41&amp;"-To-LEAF2"</f>
        <v>UP-LI-LB2-Port2-To-LEAF2</v>
      </c>
      <c r="N41" s="12" t="s">
        <v>36</v>
      </c>
      <c r="O41" s="52">
        <f t="shared" ref="O41:Q41" si="46">O40</f>
        <v>100</v>
      </c>
      <c r="P41" s="52">
        <f t="shared" si="46"/>
        <v>100</v>
      </c>
      <c r="Q41" s="52">
        <f t="shared" si="46"/>
        <v>3</v>
      </c>
      <c r="R41" s="52" t="str">
        <f>R40</f>
        <v>Static</v>
      </c>
      <c r="S41" s="74" t="str">
        <f t="shared" si="42"/>
        <v>192.168.2.102</v>
      </c>
      <c r="T41" s="74" t="str">
        <f t="shared" si="43"/>
        <v>2402:3a80:1fff:18::6e</v>
      </c>
      <c r="U41" s="52"/>
      <c r="V41" s="56"/>
      <c r="W41" s="56"/>
      <c r="X41" s="52" t="str">
        <f t="shared" si="37"/>
        <v>192.168.2.101</v>
      </c>
      <c r="Y41" s="52" t="str">
        <f t="shared" si="38"/>
        <v>192.168.2.102</v>
      </c>
      <c r="Z41" s="74" t="str">
        <f t="shared" si="39"/>
        <v>2402:3a80:1fff:18::6d</v>
      </c>
      <c r="AA41" s="74" t="str">
        <f t="shared" si="40"/>
        <v>2402:3a80:1fff:18::6e</v>
      </c>
      <c r="AB41" s="56"/>
      <c r="AC41" s="56"/>
      <c r="AD41" s="56"/>
      <c r="AE41" s="56"/>
      <c r="AF41" s="56"/>
    </row>
    <row r="42" spans="1:32" ht="14.4" thickBot="1">
      <c r="B42" s="59" t="str">
        <f t="shared" si="44"/>
        <v>INVIHR11AMB1SAEU01NK</v>
      </c>
      <c r="C42" s="372"/>
      <c r="D42" s="27"/>
      <c r="E42" s="87"/>
      <c r="F42" s="156" t="s">
        <v>197</v>
      </c>
      <c r="G42" s="75" t="str">
        <f>'[2]External Interfaces'!$L$8</f>
        <v>10.95.67.203/32</v>
      </c>
      <c r="H42" s="56" t="s">
        <v>36</v>
      </c>
      <c r="I42" s="207" t="str">
        <f>'[2]External Interfaces'!$M$8</f>
        <v>2402:8100:12::10c/128</v>
      </c>
      <c r="J42" s="84" t="s">
        <v>36</v>
      </c>
      <c r="K42" s="84"/>
      <c r="L42" s="72" t="s">
        <v>68</v>
      </c>
      <c r="M42" s="52" t="s">
        <v>1336</v>
      </c>
      <c r="N42" s="12" t="s">
        <v>36</v>
      </c>
      <c r="O42" s="84"/>
      <c r="P42" s="84"/>
      <c r="Q42" s="84"/>
      <c r="R42" s="52" t="str">
        <f>R41</f>
        <v>Static</v>
      </c>
      <c r="S42" s="79" t="s">
        <v>36</v>
      </c>
      <c r="T42" s="79" t="s">
        <v>36</v>
      </c>
      <c r="U42" s="84"/>
      <c r="V42" s="84"/>
      <c r="W42" s="84"/>
      <c r="X42" s="84"/>
      <c r="Y42" s="84"/>
      <c r="Z42" s="84" t="s">
        <v>36</v>
      </c>
      <c r="AA42" s="84" t="str">
        <f>Z42</f>
        <v>NA</v>
      </c>
      <c r="AB42" s="84" t="str">
        <f>AB38</f>
        <v>vprn13_import</v>
      </c>
      <c r="AC42" s="84" t="str">
        <f>AC38</f>
        <v>vprn13_bgp_export</v>
      </c>
      <c r="AD42" s="84" t="str">
        <f>AD38</f>
        <v>prefix_vprn13_loopbacks</v>
      </c>
      <c r="AE42" s="56"/>
      <c r="AF42" s="56"/>
    </row>
    <row r="43" spans="1:32" s="91" customFormat="1" ht="14.4" thickBot="1">
      <c r="A43" s="104"/>
      <c r="D43" s="27"/>
      <c r="T43" s="105"/>
    </row>
    <row r="44" spans="1:32">
      <c r="A44" s="73"/>
      <c r="B44" s="102" t="str">
        <f>B38</f>
        <v>INVIHR11AMB1SAEU01NK</v>
      </c>
      <c r="C44" s="352" t="s">
        <v>217</v>
      </c>
      <c r="D44" s="64" t="s">
        <v>37</v>
      </c>
      <c r="E44" s="28">
        <f>'[2]UP -CORE'!$I$7</f>
        <v>1106</v>
      </c>
      <c r="F44" s="156" t="s">
        <v>323</v>
      </c>
      <c r="G44" s="156" t="s">
        <v>209</v>
      </c>
      <c r="H44" s="156" t="s">
        <v>210</v>
      </c>
      <c r="I44" s="156" t="s">
        <v>622</v>
      </c>
      <c r="J44" s="156" t="s">
        <v>623</v>
      </c>
      <c r="K44" s="156">
        <v>1600</v>
      </c>
      <c r="L44" s="72" t="s">
        <v>65</v>
      </c>
      <c r="M44" s="52" t="str">
        <f>""&amp;F44&amp;"-To-LEAF1"</f>
        <v>UP-CORE-LB1-Port1-To-LEAF1</v>
      </c>
      <c r="N44" s="161">
        <v>100</v>
      </c>
      <c r="O44" s="161">
        <v>100</v>
      </c>
      <c r="P44" s="161">
        <v>100</v>
      </c>
      <c r="Q44" s="161">
        <v>3</v>
      </c>
      <c r="R44" s="156" t="s">
        <v>41</v>
      </c>
      <c r="S44" s="74" t="str">
        <f>LEFT(H44,FIND("/",H44)-1)</f>
        <v>192.168.1.222</v>
      </c>
      <c r="T44" s="74" t="str">
        <f>LEFT(J44,FIND("/",J44)-1)</f>
        <v>2402:3a80:1fff:19::1</v>
      </c>
      <c r="U44" s="161" t="s">
        <v>312</v>
      </c>
      <c r="V44" s="161">
        <f t="shared" ref="V44" si="47">V29</f>
        <v>65010</v>
      </c>
      <c r="W44" s="161">
        <v>65010</v>
      </c>
      <c r="X44" s="74" t="str">
        <f t="shared" ref="X44:X47" si="48">LEFT(G44,FIND("/",G44)-1)</f>
        <v>192.168.1.193</v>
      </c>
      <c r="Y44" s="74" t="str">
        <f t="shared" ref="Y44:Y47" si="49">LEFT(H44,FIND("/",H44)-1)</f>
        <v>192.168.1.222</v>
      </c>
      <c r="Z44" s="74" t="str">
        <f t="shared" ref="Z44:Z47" si="50">LEFT(I44,FIND("/",I44)-1)</f>
        <v>2402:3a80:1fff:19::2</v>
      </c>
      <c r="AA44" s="74" t="str">
        <f t="shared" ref="AA44:AA47" si="51">LEFT(J44,FIND("/",J44)-1)</f>
        <v>2402:3a80:1fff:19::1</v>
      </c>
      <c r="AB44" s="73" t="str">
        <f>"vprn"&amp;N44&amp;"_import"</f>
        <v>vprn100_import</v>
      </c>
      <c r="AC44" s="73" t="str">
        <f>"vprn"&amp;N44&amp;"_bgp_export"</f>
        <v>vprn100_bgp_export</v>
      </c>
      <c r="AD44" s="73" t="str">
        <f>"prefix_vprn"&amp;N44&amp;"_loopbacks"</f>
        <v>prefix_vprn100_loopbacks</v>
      </c>
      <c r="AE44" s="56" t="s">
        <v>1415</v>
      </c>
      <c r="AF44" s="56">
        <v>0</v>
      </c>
    </row>
    <row r="45" spans="1:32">
      <c r="A45" s="56"/>
      <c r="B45" s="56" t="str">
        <f>B44</f>
        <v>INVIHR11AMB1SAEU01NK</v>
      </c>
      <c r="C45" s="352"/>
      <c r="D45" s="64" t="s">
        <v>38</v>
      </c>
      <c r="E45" s="28">
        <f>'[2]UP -CORE'!$I$8</f>
        <v>1116</v>
      </c>
      <c r="F45" s="156" t="s">
        <v>324</v>
      </c>
      <c r="G45" s="156" t="s">
        <v>211</v>
      </c>
      <c r="H45" s="156" t="s">
        <v>212</v>
      </c>
      <c r="I45" s="156" t="s">
        <v>624</v>
      </c>
      <c r="J45" s="156" t="s">
        <v>625</v>
      </c>
      <c r="K45" s="156">
        <v>1600</v>
      </c>
      <c r="L45" s="72" t="str">
        <f>L44</f>
        <v>Physical2</v>
      </c>
      <c r="M45" s="52" t="str">
        <f>""&amp;F45&amp;"-To-LEAF2"</f>
        <v>UP-CORE-LB1-Port2-To-LEAF2</v>
      </c>
      <c r="N45" s="12" t="s">
        <v>36</v>
      </c>
      <c r="O45" s="52">
        <f t="shared" ref="O45:Q45" si="52">O44</f>
        <v>100</v>
      </c>
      <c r="P45" s="52">
        <f t="shared" si="52"/>
        <v>100</v>
      </c>
      <c r="Q45" s="52">
        <f t="shared" si="52"/>
        <v>3</v>
      </c>
      <c r="R45" s="52" t="str">
        <f>R44</f>
        <v>BGP</v>
      </c>
      <c r="S45" s="74" t="str">
        <f t="shared" ref="S45:S47" si="53">LEFT(H45,FIND("/",H45)-1)</f>
        <v>192.168.2.222</v>
      </c>
      <c r="T45" s="74" t="str">
        <f>LEFT(J45,FIND("/",J45)-1)</f>
        <v>2402:3a80:1fff:1a::1</v>
      </c>
      <c r="U45" s="52"/>
      <c r="V45" s="56"/>
      <c r="W45" s="56"/>
      <c r="X45" s="52" t="str">
        <f t="shared" si="48"/>
        <v>192.168.2.193</v>
      </c>
      <c r="Y45" s="52" t="str">
        <f t="shared" si="49"/>
        <v>192.168.2.222</v>
      </c>
      <c r="Z45" s="74" t="str">
        <f t="shared" si="50"/>
        <v>2402:3a80:1fff:1a::2</v>
      </c>
      <c r="AA45" s="74" t="str">
        <f t="shared" si="51"/>
        <v>2402:3a80:1fff:1a::1</v>
      </c>
      <c r="AB45" s="56"/>
      <c r="AC45" s="56"/>
      <c r="AD45" s="56"/>
      <c r="AE45" s="56"/>
      <c r="AF45" s="56"/>
    </row>
    <row r="46" spans="1:32">
      <c r="A46" s="56"/>
      <c r="B46" s="56" t="str">
        <f t="shared" ref="B46:B48" si="54">B45</f>
        <v>INVIHR11AMB1SAEU01NK</v>
      </c>
      <c r="C46" s="352"/>
      <c r="D46" s="64" t="s">
        <v>39</v>
      </c>
      <c r="E46" s="28">
        <f>'[2]UP -CORE'!$I$9</f>
        <v>1126</v>
      </c>
      <c r="F46" s="156" t="s">
        <v>325</v>
      </c>
      <c r="G46" s="156" t="s">
        <v>213</v>
      </c>
      <c r="H46" s="156" t="s">
        <v>214</v>
      </c>
      <c r="I46" s="156" t="s">
        <v>626</v>
      </c>
      <c r="J46" s="156" t="s">
        <v>627</v>
      </c>
      <c r="K46" s="156">
        <v>1600</v>
      </c>
      <c r="L46" s="72" t="str">
        <f>L44</f>
        <v>Physical2</v>
      </c>
      <c r="M46" s="52" t="str">
        <f>""&amp;F46&amp;"-To-LEAF1"</f>
        <v>UP-CORE-LB2-Port1-To-LEAF1</v>
      </c>
      <c r="N46" s="12" t="s">
        <v>36</v>
      </c>
      <c r="O46" s="52">
        <f t="shared" ref="O46:Q46" si="55">O45</f>
        <v>100</v>
      </c>
      <c r="P46" s="52">
        <f t="shared" si="55"/>
        <v>100</v>
      </c>
      <c r="Q46" s="52">
        <f t="shared" si="55"/>
        <v>3</v>
      </c>
      <c r="R46" s="52" t="str">
        <f>R44</f>
        <v>BGP</v>
      </c>
      <c r="S46" s="74" t="str">
        <f t="shared" si="53"/>
        <v>192.168.1.254</v>
      </c>
      <c r="T46" s="74" t="str">
        <f>LEFT(J46,FIND("/",J46)-1)</f>
        <v>2402:3a80:1fff:1b::1</v>
      </c>
      <c r="U46" s="52"/>
      <c r="V46" s="56"/>
      <c r="W46" s="56"/>
      <c r="X46" s="52" t="str">
        <f t="shared" si="48"/>
        <v>192.168.1.225</v>
      </c>
      <c r="Y46" s="52" t="str">
        <f t="shared" si="49"/>
        <v>192.168.1.254</v>
      </c>
      <c r="Z46" s="74" t="str">
        <f t="shared" si="50"/>
        <v>2402:3a80:1fff:1b::2</v>
      </c>
      <c r="AA46" s="74" t="str">
        <f t="shared" si="51"/>
        <v>2402:3a80:1fff:1b::1</v>
      </c>
      <c r="AB46" s="56"/>
      <c r="AC46" s="56"/>
      <c r="AD46" s="56"/>
      <c r="AE46" s="56"/>
      <c r="AF46" s="56"/>
    </row>
    <row r="47" spans="1:32">
      <c r="A47" s="56"/>
      <c r="B47" s="56" t="str">
        <f t="shared" si="54"/>
        <v>INVIHR11AMB1SAEU01NK</v>
      </c>
      <c r="C47" s="352"/>
      <c r="D47" s="64" t="s">
        <v>40</v>
      </c>
      <c r="E47" s="28">
        <f>'[2]UP -CORE'!$I$10</f>
        <v>1136</v>
      </c>
      <c r="F47" s="156" t="s">
        <v>326</v>
      </c>
      <c r="G47" s="156" t="s">
        <v>215</v>
      </c>
      <c r="H47" s="156" t="s">
        <v>216</v>
      </c>
      <c r="I47" s="156" t="s">
        <v>628</v>
      </c>
      <c r="J47" s="156" t="s">
        <v>629</v>
      </c>
      <c r="K47" s="156">
        <v>1600</v>
      </c>
      <c r="L47" s="72" t="str">
        <f>L44</f>
        <v>Physical2</v>
      </c>
      <c r="M47" s="52" t="str">
        <f>""&amp;F47&amp;"-To-LEAF2"</f>
        <v>UP-CORE-LB2-Port2-To-LEAF2</v>
      </c>
      <c r="N47" s="12" t="s">
        <v>36</v>
      </c>
      <c r="O47" s="52">
        <f t="shared" ref="O47:Q47" si="56">O46</f>
        <v>100</v>
      </c>
      <c r="P47" s="52">
        <f t="shared" si="56"/>
        <v>100</v>
      </c>
      <c r="Q47" s="52">
        <f t="shared" si="56"/>
        <v>3</v>
      </c>
      <c r="R47" s="52" t="str">
        <f>R46</f>
        <v>BGP</v>
      </c>
      <c r="S47" s="74" t="str">
        <f t="shared" si="53"/>
        <v>192.168.2.254</v>
      </c>
      <c r="T47" s="74" t="str">
        <f>LEFT(J47,FIND("/",J47)-1)</f>
        <v>2402:3a80:1fff:1c::1</v>
      </c>
      <c r="U47" s="52"/>
      <c r="V47" s="56"/>
      <c r="W47" s="56"/>
      <c r="X47" s="52" t="str">
        <f t="shared" si="48"/>
        <v>192.168.2.225</v>
      </c>
      <c r="Y47" s="52" t="str">
        <f t="shared" si="49"/>
        <v>192.168.2.254</v>
      </c>
      <c r="Z47" s="74" t="str">
        <f t="shared" si="50"/>
        <v>2402:3a80:1fff:1c::2</v>
      </c>
      <c r="AA47" s="74" t="str">
        <f t="shared" si="51"/>
        <v>2402:3a80:1fff:1c::1</v>
      </c>
      <c r="AB47" s="56"/>
      <c r="AC47" s="56"/>
      <c r="AD47" s="56"/>
      <c r="AE47" s="56"/>
      <c r="AF47" s="56"/>
    </row>
    <row r="48" spans="1:32" ht="14.4">
      <c r="A48" s="56"/>
      <c r="B48" s="56" t="str">
        <f t="shared" si="54"/>
        <v>INVIHR11AMB1SAEU01NK</v>
      </c>
      <c r="C48" s="352"/>
      <c r="D48" s="27"/>
      <c r="E48" s="52"/>
      <c r="F48" s="219" t="s">
        <v>558</v>
      </c>
      <c r="G48" s="131" t="s">
        <v>1352</v>
      </c>
      <c r="H48" s="56" t="s">
        <v>36</v>
      </c>
      <c r="I48" s="56" t="s">
        <v>36</v>
      </c>
      <c r="J48" s="56" t="s">
        <v>36</v>
      </c>
      <c r="K48" s="52"/>
      <c r="L48" s="72" t="s">
        <v>69</v>
      </c>
      <c r="M48" s="52" t="str">
        <f>F48</f>
        <v>UPF_S4-S11-Loopback</v>
      </c>
      <c r="N48" s="12" t="s">
        <v>36</v>
      </c>
      <c r="O48" s="84"/>
      <c r="P48" s="84"/>
      <c r="Q48" s="84"/>
      <c r="R48" s="52" t="str">
        <f t="shared" ref="R48:R52" si="57">R47</f>
        <v>BGP</v>
      </c>
      <c r="S48" s="52" t="s">
        <v>36</v>
      </c>
      <c r="T48" s="79" t="s">
        <v>36</v>
      </c>
      <c r="U48" s="84"/>
      <c r="V48" s="84"/>
      <c r="W48" s="84"/>
      <c r="X48" s="84"/>
      <c r="Y48" s="84"/>
      <c r="Z48" s="56" t="s">
        <v>36</v>
      </c>
      <c r="AA48" s="56" t="str">
        <f t="shared" ref="AA48:AA49" si="58">Z48</f>
        <v>NA</v>
      </c>
      <c r="AB48" s="84" t="str">
        <f>AB44</f>
        <v>vprn100_import</v>
      </c>
      <c r="AC48" s="84" t="str">
        <f>AC44</f>
        <v>vprn100_bgp_export</v>
      </c>
      <c r="AD48" s="84" t="str">
        <f>AD44</f>
        <v>prefix_vprn100_loopbacks</v>
      </c>
      <c r="AE48" s="56"/>
      <c r="AF48" s="56"/>
    </row>
    <row r="49" spans="1:32" ht="14.4">
      <c r="A49" s="56"/>
      <c r="B49" s="56" t="str">
        <f t="shared" ref="B49" si="59">B48</f>
        <v>INVIHR11AMB1SAEU01NK</v>
      </c>
      <c r="C49" s="352"/>
      <c r="D49" s="27"/>
      <c r="E49" s="52"/>
      <c r="F49" s="219" t="s">
        <v>560</v>
      </c>
      <c r="G49" s="131" t="s">
        <v>1353</v>
      </c>
      <c r="H49" s="56" t="s">
        <v>36</v>
      </c>
      <c r="I49" s="56" t="s">
        <v>36</v>
      </c>
      <c r="J49" s="56" t="s">
        <v>36</v>
      </c>
      <c r="K49" s="52"/>
      <c r="L49" s="72" t="s">
        <v>69</v>
      </c>
      <c r="M49" s="52" t="str">
        <f t="shared" ref="M49:M52" si="60">F49</f>
        <v>UPF_PGW-Gn-Gp-S5-S8-Loopback</v>
      </c>
      <c r="N49" s="12" t="s">
        <v>36</v>
      </c>
      <c r="O49" s="84"/>
      <c r="P49" s="84"/>
      <c r="Q49" s="84"/>
      <c r="R49" s="52" t="str">
        <f t="shared" si="57"/>
        <v>BGP</v>
      </c>
      <c r="S49" s="52" t="s">
        <v>36</v>
      </c>
      <c r="T49" s="79" t="s">
        <v>36</v>
      </c>
      <c r="U49" s="84"/>
      <c r="V49" s="84"/>
      <c r="W49" s="84"/>
      <c r="X49" s="84"/>
      <c r="Y49" s="84"/>
      <c r="Z49" s="56" t="s">
        <v>36</v>
      </c>
      <c r="AA49" s="56" t="str">
        <f t="shared" si="58"/>
        <v>NA</v>
      </c>
      <c r="AB49" s="84" t="str">
        <f t="shared" ref="AB49" si="61">AB48</f>
        <v>vprn100_import</v>
      </c>
      <c r="AC49" s="84" t="str">
        <f t="shared" ref="AC49:AD49" si="62">AC48</f>
        <v>vprn100_bgp_export</v>
      </c>
      <c r="AD49" s="84" t="str">
        <f t="shared" si="62"/>
        <v>prefix_vprn100_loopbacks</v>
      </c>
      <c r="AE49" s="56"/>
      <c r="AF49" s="56"/>
    </row>
    <row r="50" spans="1:32" ht="14.4">
      <c r="A50" s="84"/>
      <c r="B50" s="84" t="str">
        <f>B46</f>
        <v>INVIHR11AMB1SAEU01NK</v>
      </c>
      <c r="C50" s="352"/>
      <c r="D50" s="29"/>
      <c r="E50" s="87"/>
      <c r="F50" s="219" t="s">
        <v>559</v>
      </c>
      <c r="G50" s="131" t="s">
        <v>1354</v>
      </c>
      <c r="H50" s="56" t="s">
        <v>36</v>
      </c>
      <c r="I50" s="56" t="s">
        <v>36</v>
      </c>
      <c r="J50" s="56" t="s">
        <v>36</v>
      </c>
      <c r="K50" s="52"/>
      <c r="L50" s="72" t="s">
        <v>69</v>
      </c>
      <c r="M50" s="52" t="str">
        <f t="shared" si="60"/>
        <v>UPF_SGW-S5-S8-Loopback</v>
      </c>
      <c r="N50" s="12" t="s">
        <v>36</v>
      </c>
      <c r="O50" s="84"/>
      <c r="P50" s="84"/>
      <c r="Q50" s="84"/>
      <c r="R50" s="52" t="str">
        <f>R49</f>
        <v>BGP</v>
      </c>
      <c r="S50" s="52" t="s">
        <v>36</v>
      </c>
      <c r="T50" s="79" t="s">
        <v>36</v>
      </c>
      <c r="U50" s="84"/>
      <c r="V50" s="84"/>
      <c r="W50" s="84"/>
      <c r="X50" s="84"/>
      <c r="Y50" s="84"/>
      <c r="Z50" s="84" t="s">
        <v>36</v>
      </c>
      <c r="AA50" s="84" t="str">
        <f t="shared" ref="AA50" si="63">Z50</f>
        <v>NA</v>
      </c>
      <c r="AB50" s="84" t="str">
        <f>AB49</f>
        <v>vprn100_import</v>
      </c>
      <c r="AC50" s="84" t="str">
        <f>AC49</f>
        <v>vprn100_bgp_export</v>
      </c>
      <c r="AD50" s="84" t="str">
        <f>AD49</f>
        <v>prefix_vprn100_loopbacks</v>
      </c>
      <c r="AE50" s="56"/>
      <c r="AF50" s="56"/>
    </row>
    <row r="51" spans="1:32" ht="14.4">
      <c r="A51" s="84"/>
      <c r="B51" s="84" t="str">
        <f t="shared" ref="B51:B52" si="64">B47</f>
        <v>INVIHR11AMB1SAEU01NK</v>
      </c>
      <c r="C51" s="352"/>
      <c r="D51" s="29"/>
      <c r="E51" s="87"/>
      <c r="F51" s="219" t="s">
        <v>556</v>
      </c>
      <c r="G51" s="131" t="s">
        <v>1355</v>
      </c>
      <c r="H51" s="56" t="s">
        <v>36</v>
      </c>
      <c r="I51" s="56" t="s">
        <v>36</v>
      </c>
      <c r="J51" s="56" t="s">
        <v>36</v>
      </c>
      <c r="K51" s="52"/>
      <c r="L51" s="72" t="s">
        <v>69</v>
      </c>
      <c r="M51" s="52" t="str">
        <f t="shared" si="60"/>
        <v>UPF_S1u-LB-Loopback</v>
      </c>
      <c r="N51" s="12" t="s">
        <v>36</v>
      </c>
      <c r="O51" s="84"/>
      <c r="P51" s="84"/>
      <c r="Q51" s="84"/>
      <c r="R51" s="52" t="str">
        <f t="shared" si="57"/>
        <v>BGP</v>
      </c>
      <c r="S51" s="52" t="s">
        <v>36</v>
      </c>
      <c r="T51" s="79" t="s">
        <v>36</v>
      </c>
      <c r="U51" s="84"/>
      <c r="V51" s="84"/>
      <c r="W51" s="84"/>
      <c r="X51" s="84"/>
      <c r="Y51" s="84"/>
      <c r="Z51" s="84" t="s">
        <v>36</v>
      </c>
      <c r="AA51" s="84" t="str">
        <f t="shared" ref="AA51:AA52" si="65">Z51</f>
        <v>NA</v>
      </c>
      <c r="AB51" s="84" t="str">
        <f t="shared" ref="AB51:AD51" si="66">AB50</f>
        <v>vprn100_import</v>
      </c>
      <c r="AC51" s="84" t="str">
        <f t="shared" si="66"/>
        <v>vprn100_bgp_export</v>
      </c>
      <c r="AD51" s="84" t="str">
        <f t="shared" si="66"/>
        <v>prefix_vprn100_loopbacks</v>
      </c>
      <c r="AE51" s="56"/>
      <c r="AF51" s="56"/>
    </row>
    <row r="52" spans="1:32" ht="15" thickBot="1">
      <c r="A52" s="84"/>
      <c r="B52" s="84" t="str">
        <f t="shared" si="64"/>
        <v>INVIHR11AMB1SAEU01NK</v>
      </c>
      <c r="C52" s="352"/>
      <c r="D52" s="29"/>
      <c r="E52" s="87"/>
      <c r="F52" s="219" t="s">
        <v>557</v>
      </c>
      <c r="G52" s="212" t="str">
        <f>'[2]External Interfaces'!$L$9</f>
        <v>10.95.67.204/32</v>
      </c>
      <c r="H52" s="56" t="s">
        <v>36</v>
      </c>
      <c r="I52" s="225" t="str">
        <f>'[2]External Interfaces'!$M$9</f>
        <v>2402:8100:12::10d/128</v>
      </c>
      <c r="J52" s="56" t="s">
        <v>36</v>
      </c>
      <c r="K52" s="56"/>
      <c r="L52" s="72" t="s">
        <v>69</v>
      </c>
      <c r="M52" s="52" t="str">
        <f t="shared" si="60"/>
        <v>UPF_Sx-Loopback</v>
      </c>
      <c r="N52" s="12" t="s">
        <v>36</v>
      </c>
      <c r="O52" s="84"/>
      <c r="P52" s="84"/>
      <c r="Q52" s="84"/>
      <c r="R52" s="52" t="str">
        <f t="shared" si="57"/>
        <v>BGP</v>
      </c>
      <c r="S52" s="52" t="s">
        <v>36</v>
      </c>
      <c r="T52" s="79" t="s">
        <v>36</v>
      </c>
      <c r="U52" s="84"/>
      <c r="V52" s="84"/>
      <c r="W52" s="84"/>
      <c r="X52" s="84"/>
      <c r="Y52" s="84"/>
      <c r="Z52" s="84" t="s">
        <v>36</v>
      </c>
      <c r="AA52" s="84" t="str">
        <f t="shared" si="65"/>
        <v>NA</v>
      </c>
      <c r="AB52" s="84" t="str">
        <f t="shared" ref="AB52:AD52" si="67">AB51</f>
        <v>vprn100_import</v>
      </c>
      <c r="AC52" s="84" t="str">
        <f t="shared" si="67"/>
        <v>vprn100_bgp_export</v>
      </c>
      <c r="AD52" s="84" t="str">
        <f t="shared" si="67"/>
        <v>prefix_vprn100_loopbacks</v>
      </c>
      <c r="AE52" s="56"/>
      <c r="AF52" s="56"/>
    </row>
    <row r="53" spans="1:32" s="71" customFormat="1" ht="14.4" thickBot="1">
      <c r="A53" s="66"/>
      <c r="D53" s="30"/>
      <c r="L53" s="91"/>
      <c r="M53" s="91"/>
      <c r="T53" s="107"/>
    </row>
    <row r="54" spans="1:32">
      <c r="A54" s="73"/>
      <c r="B54" s="102" t="str">
        <f>B38</f>
        <v>INVIHR11AMB1SAEU01NK</v>
      </c>
      <c r="C54" s="352" t="s">
        <v>226</v>
      </c>
      <c r="D54" s="64" t="s">
        <v>37</v>
      </c>
      <c r="E54" s="28">
        <f>'[2]UP -INTERNET'!$I$7</f>
        <v>1107</v>
      </c>
      <c r="F54" s="156" t="s">
        <v>333</v>
      </c>
      <c r="G54" s="156" t="s">
        <v>218</v>
      </c>
      <c r="H54" s="156" t="s">
        <v>219</v>
      </c>
      <c r="I54" s="56" t="s">
        <v>36</v>
      </c>
      <c r="J54" s="56" t="str">
        <f t="shared" ref="J54:J57" si="68">I54</f>
        <v>NA</v>
      </c>
      <c r="K54" s="132" t="s">
        <v>36</v>
      </c>
      <c r="L54" s="72" t="s">
        <v>66</v>
      </c>
      <c r="M54" s="52" t="str">
        <f>""&amp;F54&amp;"-To-LEAF1"</f>
        <v>UP-INTERNET-LB1-Port1-To-LEAF1</v>
      </c>
      <c r="N54" s="161">
        <v>200</v>
      </c>
      <c r="O54" s="161">
        <v>100</v>
      </c>
      <c r="P54" s="161">
        <v>100</v>
      </c>
      <c r="Q54" s="161">
        <v>3</v>
      </c>
      <c r="R54" s="156" t="s">
        <v>41</v>
      </c>
      <c r="S54" s="74" t="str">
        <f>LEFT(H54,FIND("/",H54)-1)</f>
        <v>192.168.1.62</v>
      </c>
      <c r="T54" s="79" t="s">
        <v>36</v>
      </c>
      <c r="U54" s="161" t="str">
        <f>U44</f>
        <v>internal</v>
      </c>
      <c r="V54" s="161">
        <f>V44</f>
        <v>65010</v>
      </c>
      <c r="W54" s="161">
        <v>65010</v>
      </c>
      <c r="X54" s="74" t="str">
        <f>LEFT(G54,FIND("/",G54)-1)</f>
        <v>192.168.1.33</v>
      </c>
      <c r="Y54" s="74" t="str">
        <f t="shared" ref="Y54" si="69">LEFT(H54,FIND("/",H54)-1)</f>
        <v>192.168.1.62</v>
      </c>
      <c r="Z54" s="56" t="s">
        <v>36</v>
      </c>
      <c r="AA54" s="56" t="str">
        <f t="shared" ref="AA54:AA57" si="70">Z54</f>
        <v>NA</v>
      </c>
      <c r="AB54" s="73" t="str">
        <f>"vprn"&amp;N54&amp;"_import"</f>
        <v>vprn200_import</v>
      </c>
      <c r="AC54" s="73" t="str">
        <f>"vprn"&amp;N54&amp;"_bgp_export"</f>
        <v>vprn200_bgp_export</v>
      </c>
      <c r="AD54" s="73" t="str">
        <f>"prefix_vprn"&amp;N54&amp;"_loopbacks"</f>
        <v>prefix_vprn200_loopbacks</v>
      </c>
      <c r="AE54" s="56" t="s">
        <v>1415</v>
      </c>
      <c r="AF54" s="56">
        <v>0</v>
      </c>
    </row>
    <row r="55" spans="1:32">
      <c r="A55" s="56"/>
      <c r="B55" s="56" t="str">
        <f>B54</f>
        <v>INVIHR11AMB1SAEU01NK</v>
      </c>
      <c r="C55" s="352"/>
      <c r="D55" s="64" t="s">
        <v>38</v>
      </c>
      <c r="E55" s="28">
        <f>'[2]UP -INTERNET'!$I$8</f>
        <v>1117</v>
      </c>
      <c r="F55" s="156" t="s">
        <v>334</v>
      </c>
      <c r="G55" s="156" t="s">
        <v>220</v>
      </c>
      <c r="H55" s="156" t="s">
        <v>221</v>
      </c>
      <c r="I55" s="56" t="s">
        <v>1394</v>
      </c>
      <c r="J55" s="56" t="str">
        <f t="shared" si="68"/>
        <v>dd</v>
      </c>
      <c r="K55" s="132" t="s">
        <v>36</v>
      </c>
      <c r="L55" s="72" t="str">
        <f>L54</f>
        <v>Physical3</v>
      </c>
      <c r="M55" s="52" t="str">
        <f>""&amp;F55&amp;"-To-LEAF2"</f>
        <v>UP-INTERNET-LB1-Port2-To-LEAF2</v>
      </c>
      <c r="N55" s="12" t="s">
        <v>36</v>
      </c>
      <c r="O55" s="52">
        <f t="shared" ref="O55:Q57" si="71">O54</f>
        <v>100</v>
      </c>
      <c r="P55" s="52">
        <f t="shared" si="71"/>
        <v>100</v>
      </c>
      <c r="Q55" s="52">
        <f t="shared" si="71"/>
        <v>3</v>
      </c>
      <c r="R55" s="52" t="str">
        <f>R54</f>
        <v>BGP</v>
      </c>
      <c r="S55" s="74" t="str">
        <f t="shared" ref="S55:S57" si="72">LEFT(H55,FIND("/",H55)-1)</f>
        <v>192.168.2.62</v>
      </c>
      <c r="T55" s="79" t="s">
        <v>36</v>
      </c>
      <c r="U55" s="52"/>
      <c r="V55" s="56"/>
      <c r="W55" s="56"/>
      <c r="X55" s="52" t="str">
        <f>LEFT(G55,FIND("/",G55)-1)</f>
        <v>192.168.2.33</v>
      </c>
      <c r="Y55" s="52" t="str">
        <f>LEFT(H55,FIND("/",H55)-1)</f>
        <v>192.168.2.62</v>
      </c>
      <c r="Z55" s="56" t="s">
        <v>36</v>
      </c>
      <c r="AA55" s="56" t="str">
        <f t="shared" si="70"/>
        <v>NA</v>
      </c>
      <c r="AB55" s="56"/>
      <c r="AC55" s="56"/>
      <c r="AD55" s="56"/>
      <c r="AE55" s="56"/>
      <c r="AF55" s="56"/>
    </row>
    <row r="56" spans="1:32">
      <c r="A56" s="56"/>
      <c r="B56" s="56" t="str">
        <f t="shared" ref="B56:B58" si="73">B55</f>
        <v>INVIHR11AMB1SAEU01NK</v>
      </c>
      <c r="C56" s="352"/>
      <c r="D56" s="64" t="s">
        <v>39</v>
      </c>
      <c r="E56" s="28">
        <f>'[2]UP -INTERNET'!$I$9</f>
        <v>1127</v>
      </c>
      <c r="F56" s="156" t="s">
        <v>335</v>
      </c>
      <c r="G56" s="156" t="s">
        <v>222</v>
      </c>
      <c r="H56" s="156" t="s">
        <v>223</v>
      </c>
      <c r="I56" s="84" t="s">
        <v>36</v>
      </c>
      <c r="J56" s="84" t="str">
        <f t="shared" si="68"/>
        <v>NA</v>
      </c>
      <c r="K56" s="132" t="s">
        <v>36</v>
      </c>
      <c r="L56" s="72" t="str">
        <f>L54</f>
        <v>Physical3</v>
      </c>
      <c r="M56" s="52" t="str">
        <f>""&amp;F56&amp;"-To-LEAF1"</f>
        <v>UP-INTERNET-LB2-Port1-To-LEAF1</v>
      </c>
      <c r="N56" s="12" t="s">
        <v>36</v>
      </c>
      <c r="O56" s="52">
        <f t="shared" si="71"/>
        <v>100</v>
      </c>
      <c r="P56" s="52">
        <f t="shared" si="71"/>
        <v>100</v>
      </c>
      <c r="Q56" s="52">
        <f t="shared" si="71"/>
        <v>3</v>
      </c>
      <c r="R56" s="52" t="s">
        <v>41</v>
      </c>
      <c r="S56" s="74" t="str">
        <f t="shared" si="72"/>
        <v>192.168.1.158</v>
      </c>
      <c r="T56" s="79" t="s">
        <v>36</v>
      </c>
      <c r="U56" s="52"/>
      <c r="V56" s="56"/>
      <c r="W56" s="56"/>
      <c r="X56" s="52" t="str">
        <f>LEFT(G56,FIND("/",G56)-1)</f>
        <v>192.168.1.129</v>
      </c>
      <c r="Y56" s="52" t="str">
        <f>LEFT(H56,FIND("/",H56)-1)</f>
        <v>192.168.1.158</v>
      </c>
      <c r="Z56" s="84" t="s">
        <v>36</v>
      </c>
      <c r="AA56" s="84" t="str">
        <f t="shared" si="70"/>
        <v>NA</v>
      </c>
      <c r="AB56" s="56"/>
      <c r="AC56" s="56"/>
      <c r="AD56" s="56"/>
      <c r="AE56" s="56"/>
      <c r="AF56" s="56"/>
    </row>
    <row r="57" spans="1:32">
      <c r="A57" s="56"/>
      <c r="B57" s="56" t="str">
        <f t="shared" si="73"/>
        <v>INVIHR11AMB1SAEU01NK</v>
      </c>
      <c r="C57" s="352"/>
      <c r="D57" s="64" t="s">
        <v>40</v>
      </c>
      <c r="E57" s="28">
        <f>'[2]UP -INTERNET'!$I$10</f>
        <v>1137</v>
      </c>
      <c r="F57" s="156" t="s">
        <v>336</v>
      </c>
      <c r="G57" s="156" t="s">
        <v>224</v>
      </c>
      <c r="H57" s="156" t="s">
        <v>225</v>
      </c>
      <c r="I57" s="84" t="s">
        <v>36</v>
      </c>
      <c r="J57" s="84" t="str">
        <f t="shared" si="68"/>
        <v>NA</v>
      </c>
      <c r="K57" s="132" t="s">
        <v>36</v>
      </c>
      <c r="L57" s="72" t="str">
        <f>L54</f>
        <v>Physical3</v>
      </c>
      <c r="M57" s="52" t="str">
        <f>""&amp;F57&amp;"-To-LEAF2"</f>
        <v>UP-INTERNET-LB2-Port2-To-LEAF2</v>
      </c>
      <c r="N57" s="12" t="s">
        <v>36</v>
      </c>
      <c r="O57" s="52">
        <f t="shared" si="71"/>
        <v>100</v>
      </c>
      <c r="P57" s="52">
        <f t="shared" si="71"/>
        <v>100</v>
      </c>
      <c r="Q57" s="52">
        <f t="shared" si="71"/>
        <v>3</v>
      </c>
      <c r="R57" s="52" t="str">
        <f>R56</f>
        <v>BGP</v>
      </c>
      <c r="S57" s="74" t="str">
        <f t="shared" si="72"/>
        <v>192.168.2.158</v>
      </c>
      <c r="T57" s="79" t="s">
        <v>36</v>
      </c>
      <c r="U57" s="52"/>
      <c r="V57" s="56"/>
      <c r="W57" s="56"/>
      <c r="X57" s="52" t="str">
        <f>LEFT(G57,FIND("/",G57)-1)</f>
        <v>192.168.2.129</v>
      </c>
      <c r="Y57" s="52" t="str">
        <f>LEFT(H57,FIND("/",H57)-1)</f>
        <v>192.168.2.158</v>
      </c>
      <c r="Z57" s="84" t="s">
        <v>36</v>
      </c>
      <c r="AA57" s="84" t="str">
        <f t="shared" si="70"/>
        <v>NA</v>
      </c>
      <c r="AB57" s="56"/>
      <c r="AC57" s="56"/>
      <c r="AD57" s="56"/>
      <c r="AE57" s="56"/>
      <c r="AF57" s="56"/>
    </row>
    <row r="58" spans="1:32" ht="15" thickBot="1">
      <c r="A58" s="84"/>
      <c r="B58" s="84" t="str">
        <f t="shared" si="73"/>
        <v>INVIHR11AMB1SAEU01NK</v>
      </c>
      <c r="C58" s="352"/>
      <c r="D58" s="29"/>
      <c r="E58" s="158"/>
      <c r="F58" s="156" t="s">
        <v>313</v>
      </c>
      <c r="G58" s="34" t="str">
        <f>IF(ISBLANK('[2]UP -INTERNET'!$K$11),"99.99.99.100/32",('[2]UP -INTERNET'!$K$11))</f>
        <v>10.95.67.205/32</v>
      </c>
      <c r="H58" s="56" t="s">
        <v>36</v>
      </c>
      <c r="I58" s="84" t="s">
        <v>36</v>
      </c>
      <c r="J58" s="84" t="str">
        <f t="shared" ref="J58" si="74">I58</f>
        <v>NA</v>
      </c>
      <c r="K58" s="84"/>
      <c r="L58" s="72" t="s">
        <v>70</v>
      </c>
      <c r="M58" s="52" t="s">
        <v>313</v>
      </c>
      <c r="N58" s="12" t="s">
        <v>36</v>
      </c>
      <c r="O58" s="87"/>
      <c r="P58" s="87"/>
      <c r="Q58" s="87"/>
      <c r="R58" s="52" t="str">
        <f>R57</f>
        <v>BGP</v>
      </c>
      <c r="S58" s="52" t="s">
        <v>36</v>
      </c>
      <c r="T58" s="79" t="s">
        <v>36</v>
      </c>
      <c r="U58" s="87"/>
      <c r="V58" s="84"/>
      <c r="W58" s="84"/>
      <c r="X58" s="92"/>
      <c r="Y58" s="92"/>
      <c r="Z58" s="84" t="s">
        <v>36</v>
      </c>
      <c r="AA58" s="84" t="str">
        <f>Z58</f>
        <v>NA</v>
      </c>
      <c r="AB58" s="84" t="str">
        <f>AB54</f>
        <v>vprn200_import</v>
      </c>
      <c r="AC58" s="84" t="str">
        <f>AC54</f>
        <v>vprn200_bgp_export</v>
      </c>
      <c r="AD58" s="84" t="str">
        <f>AD54</f>
        <v>prefix_vprn200_loopbacks</v>
      </c>
      <c r="AE58" s="56"/>
      <c r="AF58" s="56"/>
    </row>
    <row r="59" spans="1:32" s="71" customFormat="1" ht="14.4" thickBot="1">
      <c r="A59" s="66"/>
      <c r="D59" s="30"/>
      <c r="L59" s="99"/>
      <c r="M59" s="91"/>
      <c r="T59" s="107"/>
    </row>
    <row r="60" spans="1:32" ht="14.4">
      <c r="A60" s="73"/>
      <c r="B60" s="102" t="str">
        <f>B44</f>
        <v>INVIHR11AMB1SAEU01NK</v>
      </c>
      <c r="C60" s="352" t="s">
        <v>227</v>
      </c>
      <c r="D60" s="64" t="s">
        <v>37</v>
      </c>
      <c r="E60" s="28">
        <f>'[2]UP -IMS'!$I$7</f>
        <v>1108</v>
      </c>
      <c r="F60" s="156" t="s">
        <v>705</v>
      </c>
      <c r="G60" s="156" t="s">
        <v>228</v>
      </c>
      <c r="H60" s="156" t="s">
        <v>229</v>
      </c>
      <c r="I60" s="143" t="s">
        <v>636</v>
      </c>
      <c r="J60" s="143" t="s">
        <v>637</v>
      </c>
      <c r="K60" s="132" t="s">
        <v>36</v>
      </c>
      <c r="L60" s="72" t="s">
        <v>67</v>
      </c>
      <c r="M60" s="52" t="str">
        <f>""&amp;F60&amp;"-To-LEAF1"</f>
        <v>UP-IMS-LB1-Port1-To-LEAF1</v>
      </c>
      <c r="N60" s="161">
        <v>300</v>
      </c>
      <c r="O60" s="161">
        <v>100</v>
      </c>
      <c r="P60" s="161">
        <v>100</v>
      </c>
      <c r="Q60" s="161">
        <v>3</v>
      </c>
      <c r="R60" s="156" t="s">
        <v>41</v>
      </c>
      <c r="S60" s="74" t="str">
        <f>LEFT(H60,FIND("/",H60)-1)</f>
        <v>192.168.1.94</v>
      </c>
      <c r="T60" s="74" t="str">
        <f>LEFT(J60,FIND("/",J60)-1)</f>
        <v>2402:3a80:1fff:a::1</v>
      </c>
      <c r="U60" s="161" t="str">
        <f>U54</f>
        <v>internal</v>
      </c>
      <c r="V60" s="161">
        <f t="shared" ref="V60" si="75">V54</f>
        <v>65010</v>
      </c>
      <c r="W60" s="161">
        <v>65010</v>
      </c>
      <c r="X60" s="74" t="str">
        <f t="shared" ref="X60:X63" si="76">LEFT(G60,FIND("/",G60)-1)</f>
        <v>192.168.1.65</v>
      </c>
      <c r="Y60" s="74" t="str">
        <f t="shared" ref="Y60:Y63" si="77">LEFT(H60,FIND("/",H60)-1)</f>
        <v>192.168.1.94</v>
      </c>
      <c r="Z60" s="74" t="str">
        <f t="shared" ref="Z60:Z63" si="78">LEFT(I60,FIND("/",I60)-1)</f>
        <v>2402:3a80:1fff:a::2</v>
      </c>
      <c r="AA60" s="74" t="str">
        <f t="shared" ref="AA60:AA63" si="79">LEFT(J60,FIND("/",J60)-1)</f>
        <v>2402:3a80:1fff:a::1</v>
      </c>
      <c r="AB60" s="73" t="str">
        <f>"vprn"&amp;N60&amp;"_import"</f>
        <v>vprn300_import</v>
      </c>
      <c r="AC60" s="73" t="str">
        <f>"vprn"&amp;N60&amp;"_bgp_export"</f>
        <v>vprn300_bgp_export</v>
      </c>
      <c r="AD60" s="73" t="str">
        <f>"prefix_vprn"&amp;N60&amp;"_loopbacks"</f>
        <v>prefix_vprn300_loopbacks</v>
      </c>
      <c r="AE60" s="56" t="s">
        <v>1415</v>
      </c>
      <c r="AF60" s="56">
        <v>0</v>
      </c>
    </row>
    <row r="61" spans="1:32" ht="14.4">
      <c r="A61" s="56"/>
      <c r="B61" s="56" t="str">
        <f>B60</f>
        <v>INVIHR11AMB1SAEU01NK</v>
      </c>
      <c r="C61" s="352"/>
      <c r="D61" s="64" t="s">
        <v>38</v>
      </c>
      <c r="E61" s="28">
        <f>'[2]UP -IMS'!$I$8</f>
        <v>1118</v>
      </c>
      <c r="F61" s="156" t="s">
        <v>706</v>
      </c>
      <c r="G61" s="156" t="s">
        <v>230</v>
      </c>
      <c r="H61" s="156" t="s">
        <v>231</v>
      </c>
      <c r="I61" s="143" t="s">
        <v>638</v>
      </c>
      <c r="J61" s="143" t="s">
        <v>639</v>
      </c>
      <c r="K61" s="132" t="s">
        <v>36</v>
      </c>
      <c r="L61" s="72" t="str">
        <f>L60</f>
        <v>Physical4</v>
      </c>
      <c r="M61" s="52" t="str">
        <f>""&amp;F61&amp;"-To-LEAF2"</f>
        <v>UP-IMS-LB1-Port2-To-LEAF2</v>
      </c>
      <c r="N61" s="12" t="s">
        <v>36</v>
      </c>
      <c r="O61" s="52">
        <f t="shared" ref="O61:Q63" si="80">O60</f>
        <v>100</v>
      </c>
      <c r="P61" s="52">
        <f t="shared" si="80"/>
        <v>100</v>
      </c>
      <c r="Q61" s="52">
        <f t="shared" si="80"/>
        <v>3</v>
      </c>
      <c r="R61" s="52" t="str">
        <f>R60</f>
        <v>BGP</v>
      </c>
      <c r="S61" s="74" t="str">
        <f t="shared" ref="S61:S63" si="81">LEFT(H61,FIND("/",H61)-1)</f>
        <v>192.168.2.94</v>
      </c>
      <c r="T61" s="74" t="str">
        <f t="shared" ref="T61:T63" si="82">LEFT(J61,FIND("/",J61)-1)</f>
        <v>2402:3a80:1fff:b::1</v>
      </c>
      <c r="U61" s="52"/>
      <c r="V61" s="56"/>
      <c r="W61" s="56"/>
      <c r="X61" s="52" t="str">
        <f t="shared" si="76"/>
        <v>192.168.2.65</v>
      </c>
      <c r="Y61" s="52" t="str">
        <f t="shared" si="77"/>
        <v>192.168.2.94</v>
      </c>
      <c r="Z61" s="74" t="str">
        <f t="shared" si="78"/>
        <v>2402:3a80:1fff:b::2</v>
      </c>
      <c r="AA61" s="74" t="str">
        <f t="shared" si="79"/>
        <v>2402:3a80:1fff:b::1</v>
      </c>
      <c r="AB61" s="56"/>
      <c r="AC61" s="56"/>
      <c r="AD61" s="56"/>
      <c r="AE61" s="56"/>
      <c r="AF61" s="56"/>
    </row>
    <row r="62" spans="1:32" ht="14.4">
      <c r="A62" s="56"/>
      <c r="B62" s="56" t="str">
        <f t="shared" ref="B62:B64" si="83">B61</f>
        <v>INVIHR11AMB1SAEU01NK</v>
      </c>
      <c r="C62" s="352"/>
      <c r="D62" s="64" t="s">
        <v>39</v>
      </c>
      <c r="E62" s="28">
        <f>'[2]UP -IMS'!$I$9</f>
        <v>1128</v>
      </c>
      <c r="F62" s="156" t="s">
        <v>707</v>
      </c>
      <c r="G62" s="156" t="s">
        <v>232</v>
      </c>
      <c r="H62" s="156" t="s">
        <v>233</v>
      </c>
      <c r="I62" s="143" t="s">
        <v>640</v>
      </c>
      <c r="J62" s="143" t="s">
        <v>641</v>
      </c>
      <c r="K62" s="132" t="s">
        <v>36</v>
      </c>
      <c r="L62" s="72" t="str">
        <f>L60</f>
        <v>Physical4</v>
      </c>
      <c r="M62" s="52" t="str">
        <f>""&amp;F62&amp;"-To-LEAF1"</f>
        <v>UP-IMS-LB2-Port1-To-LEAF1</v>
      </c>
      <c r="N62" s="12" t="s">
        <v>36</v>
      </c>
      <c r="O62" s="52">
        <f t="shared" si="80"/>
        <v>100</v>
      </c>
      <c r="P62" s="52">
        <f t="shared" si="80"/>
        <v>100</v>
      </c>
      <c r="Q62" s="52">
        <f t="shared" si="80"/>
        <v>3</v>
      </c>
      <c r="R62" s="52" t="s">
        <v>41</v>
      </c>
      <c r="S62" s="74" t="str">
        <f t="shared" si="81"/>
        <v>192.168.1.190</v>
      </c>
      <c r="T62" s="74" t="str">
        <f t="shared" si="82"/>
        <v>2402:3a80:1fff:c::1</v>
      </c>
      <c r="U62" s="52"/>
      <c r="V62" s="56"/>
      <c r="W62" s="56"/>
      <c r="X62" s="52" t="str">
        <f t="shared" si="76"/>
        <v>192.168.1.161</v>
      </c>
      <c r="Y62" s="52" t="str">
        <f t="shared" si="77"/>
        <v>192.168.1.190</v>
      </c>
      <c r="Z62" s="74" t="str">
        <f t="shared" si="78"/>
        <v>2402:3a80:1fff:c::2</v>
      </c>
      <c r="AA62" s="74" t="str">
        <f t="shared" si="79"/>
        <v>2402:3a80:1fff:c::1</v>
      </c>
      <c r="AB62" s="56"/>
      <c r="AC62" s="56"/>
      <c r="AD62" s="56"/>
      <c r="AE62" s="56"/>
      <c r="AF62" s="56"/>
    </row>
    <row r="63" spans="1:32" ht="14.4">
      <c r="A63" s="56"/>
      <c r="B63" s="56" t="str">
        <f t="shared" si="83"/>
        <v>INVIHR11AMB1SAEU01NK</v>
      </c>
      <c r="C63" s="352"/>
      <c r="D63" s="64" t="s">
        <v>40</v>
      </c>
      <c r="E63" s="28">
        <f>'[2]UP -IMS'!$I$10</f>
        <v>1138</v>
      </c>
      <c r="F63" s="156" t="s">
        <v>708</v>
      </c>
      <c r="G63" s="156" t="s">
        <v>234</v>
      </c>
      <c r="H63" s="156" t="s">
        <v>235</v>
      </c>
      <c r="I63" s="143" t="s">
        <v>642</v>
      </c>
      <c r="J63" s="143" t="s">
        <v>643</v>
      </c>
      <c r="K63" s="132" t="s">
        <v>36</v>
      </c>
      <c r="L63" s="72" t="str">
        <f>L61</f>
        <v>Physical4</v>
      </c>
      <c r="M63" s="52" t="str">
        <f>""&amp;F63&amp;"-To-LEAF2"</f>
        <v>UP-IMS-LB2-Port2-To-LEAF2</v>
      </c>
      <c r="N63" s="12" t="s">
        <v>36</v>
      </c>
      <c r="O63" s="52">
        <f t="shared" si="80"/>
        <v>100</v>
      </c>
      <c r="P63" s="52">
        <f t="shared" si="80"/>
        <v>100</v>
      </c>
      <c r="Q63" s="52">
        <f t="shared" si="80"/>
        <v>3</v>
      </c>
      <c r="R63" s="52" t="str">
        <f>R62</f>
        <v>BGP</v>
      </c>
      <c r="S63" s="74" t="str">
        <f t="shared" si="81"/>
        <v>192.168.2.190</v>
      </c>
      <c r="T63" s="74" t="str">
        <f t="shared" si="82"/>
        <v>2402:3a80:1fff:d::1</v>
      </c>
      <c r="U63" s="52"/>
      <c r="V63" s="56"/>
      <c r="W63" s="56"/>
      <c r="X63" s="52" t="str">
        <f t="shared" si="76"/>
        <v>192.168.2.161</v>
      </c>
      <c r="Y63" s="52" t="str">
        <f t="shared" si="77"/>
        <v>192.168.2.190</v>
      </c>
      <c r="Z63" s="74" t="str">
        <f t="shared" si="78"/>
        <v>2402:3a80:1fff:d::2</v>
      </c>
      <c r="AA63" s="74" t="str">
        <f t="shared" si="79"/>
        <v>2402:3a80:1fff:d::1</v>
      </c>
      <c r="AB63" s="56"/>
      <c r="AC63" s="56"/>
      <c r="AD63" s="56"/>
      <c r="AE63" s="56"/>
      <c r="AF63" s="56"/>
    </row>
    <row r="64" spans="1:32" ht="15" thickBot="1">
      <c r="A64" s="84"/>
      <c r="B64" s="84" t="str">
        <f t="shared" si="83"/>
        <v>INVIHR11AMB1SAEU01NK</v>
      </c>
      <c r="C64" s="352"/>
      <c r="D64" s="29"/>
      <c r="E64" s="280"/>
      <c r="F64" s="157" t="s">
        <v>314</v>
      </c>
      <c r="G64" s="281" t="str">
        <f>IF(ISBLANK('[2]UP -IMS'!$K$11),"99.99.99.101/32",('[2]UP -IMS'!$K$11))</f>
        <v>10.95.67.206/32</v>
      </c>
      <c r="H64" s="84" t="s">
        <v>36</v>
      </c>
      <c r="I64" s="83" t="s">
        <v>36</v>
      </c>
      <c r="J64" s="84" t="s">
        <v>36</v>
      </c>
      <c r="K64" s="84"/>
      <c r="L64" s="85" t="s">
        <v>72</v>
      </c>
      <c r="M64" s="87" t="s">
        <v>314</v>
      </c>
      <c r="N64" s="14" t="s">
        <v>36</v>
      </c>
      <c r="O64" s="87"/>
      <c r="P64" s="87"/>
      <c r="Q64" s="87"/>
      <c r="R64" s="87" t="str">
        <f>R63</f>
        <v>BGP</v>
      </c>
      <c r="S64" s="87" t="s">
        <v>36</v>
      </c>
      <c r="T64" s="81" t="s">
        <v>36</v>
      </c>
      <c r="U64" s="87"/>
      <c r="V64" s="84"/>
      <c r="W64" s="84"/>
      <c r="X64" s="92"/>
      <c r="Y64" s="92"/>
      <c r="Z64" s="84" t="s">
        <v>36</v>
      </c>
      <c r="AA64" s="84" t="str">
        <f>Z64</f>
        <v>NA</v>
      </c>
      <c r="AB64" s="84" t="str">
        <f>AB60</f>
        <v>vprn300_import</v>
      </c>
      <c r="AC64" s="84" t="str">
        <f>AC60</f>
        <v>vprn300_bgp_export</v>
      </c>
      <c r="AD64" s="84" t="str">
        <f>AD60</f>
        <v>prefix_vprn300_loopbacks</v>
      </c>
      <c r="AE64" s="56"/>
      <c r="AF64" s="56"/>
    </row>
    <row r="65" spans="1:32" s="71" customFormat="1" ht="14.4" thickBot="1">
      <c r="A65" s="66"/>
      <c r="T65" s="107"/>
    </row>
    <row r="66" spans="1:32" ht="14.4">
      <c r="A66" s="73"/>
      <c r="B66" s="102" t="str">
        <f>B50</f>
        <v>INVIHR11AMB1SAEU01NK</v>
      </c>
      <c r="C66" s="352" t="s">
        <v>715</v>
      </c>
      <c r="D66" s="64" t="s">
        <v>37</v>
      </c>
      <c r="E66" s="28">
        <f>'[2]NAT_13XX_INSIDE VPRN'!$K$4</f>
        <v>1500</v>
      </c>
      <c r="F66" s="282" t="s">
        <v>1348</v>
      </c>
      <c r="G66" s="74" t="s">
        <v>36</v>
      </c>
      <c r="H66" s="74" t="s">
        <v>36</v>
      </c>
      <c r="I66" s="283" t="s">
        <v>690</v>
      </c>
      <c r="J66" s="283" t="s">
        <v>691</v>
      </c>
      <c r="K66" s="284" t="s">
        <v>36</v>
      </c>
      <c r="L66" s="88" t="s">
        <v>698</v>
      </c>
      <c r="M66" s="74" t="str">
        <f>""&amp;F66&amp;"-To-LEAF1"</f>
        <v>CMG1_NATINSIDE1300ActiveExt1_UPF-To-LEAF1</v>
      </c>
      <c r="N66" s="161">
        <v>1300</v>
      </c>
      <c r="O66" s="161">
        <v>100</v>
      </c>
      <c r="P66" s="161">
        <v>100</v>
      </c>
      <c r="Q66" s="161">
        <v>3</v>
      </c>
      <c r="R66" s="161" t="s">
        <v>41</v>
      </c>
      <c r="S66" s="97" t="s">
        <v>36</v>
      </c>
      <c r="T66" s="74" t="str">
        <f>LEFT(J66,FIND("/",J66)-1)</f>
        <v>2402:3a80:1fff:5::1</v>
      </c>
      <c r="U66" s="161" t="str">
        <f>U60</f>
        <v>internal</v>
      </c>
      <c r="V66" s="161">
        <f t="shared" ref="V66" si="84">V60</f>
        <v>65010</v>
      </c>
      <c r="W66" s="161">
        <v>65010</v>
      </c>
      <c r="X66" s="74" t="s">
        <v>36</v>
      </c>
      <c r="Y66" s="97" t="s">
        <v>36</v>
      </c>
      <c r="Z66" s="74" t="str">
        <f t="shared" ref="Z66:Z69" si="85">LEFT(I66,FIND("/",I66)-1)</f>
        <v>2402:3a80:1fff:5::2</v>
      </c>
      <c r="AA66" s="74" t="str">
        <f t="shared" ref="AA66:AA69" si="86">LEFT(J66,FIND("/",J66)-1)</f>
        <v>2402:3a80:1fff:5::1</v>
      </c>
      <c r="AB66" s="73" t="str">
        <f>"vprn"&amp;N66&amp;"_import"</f>
        <v>vprn1300_import</v>
      </c>
      <c r="AC66" s="73" t="str">
        <f>"vprn"&amp;N66&amp;"_bgp_export"</f>
        <v>vprn1300_bgp_export</v>
      </c>
      <c r="AD66" s="73" t="str">
        <f>"prefix_vprn"&amp;N66&amp;"_loopbacks"</f>
        <v>prefix_vprn1300_loopbacks</v>
      </c>
      <c r="AE66" s="56" t="s">
        <v>1415</v>
      </c>
      <c r="AF66" s="56">
        <v>0</v>
      </c>
    </row>
    <row r="67" spans="1:32" ht="14.4">
      <c r="A67" s="56"/>
      <c r="B67" s="56" t="str">
        <f>B66</f>
        <v>INVIHR11AMB1SAEU01NK</v>
      </c>
      <c r="C67" s="352"/>
      <c r="D67" s="64" t="s">
        <v>38</v>
      </c>
      <c r="E67" s="28">
        <f>'[2]NAT_13XX_INSIDE VPRN'!$K$5</f>
        <v>1510</v>
      </c>
      <c r="F67" s="185" t="s">
        <v>1349</v>
      </c>
      <c r="G67" s="52" t="s">
        <v>36</v>
      </c>
      <c r="H67" s="52" t="s">
        <v>36</v>
      </c>
      <c r="I67" s="143" t="s">
        <v>692</v>
      </c>
      <c r="J67" s="143" t="s">
        <v>693</v>
      </c>
      <c r="K67" s="132" t="s">
        <v>36</v>
      </c>
      <c r="L67" s="72" t="str">
        <f>L66</f>
        <v>Physical5</v>
      </c>
      <c r="M67" s="52" t="str">
        <f>""&amp;F67&amp;"-To-LEAF2"</f>
        <v>CMG1_NATINSIDE1300ActiveExt2_UPF-To-LEAF2</v>
      </c>
      <c r="N67" s="12" t="s">
        <v>36</v>
      </c>
      <c r="O67" s="52">
        <f t="shared" ref="O67:Q67" si="87">O66</f>
        <v>100</v>
      </c>
      <c r="P67" s="52">
        <f t="shared" si="87"/>
        <v>100</v>
      </c>
      <c r="Q67" s="52">
        <f t="shared" si="87"/>
        <v>3</v>
      </c>
      <c r="R67" s="52" t="str">
        <f>R66</f>
        <v>BGP</v>
      </c>
      <c r="S67" s="79" t="s">
        <v>36</v>
      </c>
      <c r="T67" s="74" t="str">
        <f t="shared" ref="T67:T69" si="88">LEFT(J67,FIND("/",J67)-1)</f>
        <v>2402:3a80:1fff:6::1</v>
      </c>
      <c r="U67" s="52"/>
      <c r="V67" s="56"/>
      <c r="W67" s="56"/>
      <c r="X67" s="52" t="s">
        <v>36</v>
      </c>
      <c r="Y67" s="97" t="s">
        <v>36</v>
      </c>
      <c r="Z67" s="74" t="str">
        <f t="shared" si="85"/>
        <v>2402:3a80:1fff:6::2</v>
      </c>
      <c r="AA67" s="74" t="str">
        <f t="shared" si="86"/>
        <v>2402:3a80:1fff:6::1</v>
      </c>
      <c r="AB67" s="56"/>
      <c r="AC67" s="56"/>
      <c r="AD67" s="56"/>
      <c r="AE67" s="56"/>
      <c r="AF67" s="56"/>
    </row>
    <row r="68" spans="1:32" ht="14.4">
      <c r="A68" s="56"/>
      <c r="B68" s="56" t="str">
        <f t="shared" ref="B68:B69" si="89">B67</f>
        <v>INVIHR11AMB1SAEU01NK</v>
      </c>
      <c r="C68" s="352"/>
      <c r="D68" s="64" t="s">
        <v>39</v>
      </c>
      <c r="E68" s="28">
        <f>'[2]NAT_13XX_INSIDE VPRN'!$K$6</f>
        <v>1520</v>
      </c>
      <c r="F68" s="185" t="s">
        <v>1346</v>
      </c>
      <c r="G68" s="52" t="s">
        <v>36</v>
      </c>
      <c r="H68" s="52" t="s">
        <v>36</v>
      </c>
      <c r="I68" s="143" t="s">
        <v>694</v>
      </c>
      <c r="J68" s="143" t="s">
        <v>695</v>
      </c>
      <c r="K68" s="132" t="s">
        <v>36</v>
      </c>
      <c r="L68" s="72" t="str">
        <f>L66</f>
        <v>Physical5</v>
      </c>
      <c r="M68" s="52" t="str">
        <f>""&amp;F68&amp;"-To-LEAF1"</f>
        <v>CMG1_NATINSIDE1300StdbyExt1_UPF-To-LEAF1</v>
      </c>
      <c r="N68" s="12" t="s">
        <v>36</v>
      </c>
      <c r="O68" s="52">
        <f t="shared" ref="O68:Q68" si="90">O67</f>
        <v>100</v>
      </c>
      <c r="P68" s="52">
        <f t="shared" si="90"/>
        <v>100</v>
      </c>
      <c r="Q68" s="52">
        <f t="shared" si="90"/>
        <v>3</v>
      </c>
      <c r="R68" s="52" t="s">
        <v>41</v>
      </c>
      <c r="S68" s="79" t="s">
        <v>36</v>
      </c>
      <c r="T68" s="74" t="str">
        <f t="shared" si="88"/>
        <v>2402:3a80:1fff:7::1</v>
      </c>
      <c r="U68" s="52"/>
      <c r="V68" s="56"/>
      <c r="W68" s="56"/>
      <c r="X68" s="52" t="s">
        <v>36</v>
      </c>
      <c r="Y68" s="97" t="s">
        <v>36</v>
      </c>
      <c r="Z68" s="74" t="str">
        <f t="shared" si="85"/>
        <v>2402:3a80:1fff:7::2</v>
      </c>
      <c r="AA68" s="74" t="str">
        <f t="shared" si="86"/>
        <v>2402:3a80:1fff:7::1</v>
      </c>
      <c r="AB68" s="56"/>
      <c r="AC68" s="56"/>
      <c r="AD68" s="56"/>
      <c r="AE68" s="56"/>
      <c r="AF68" s="56"/>
    </row>
    <row r="69" spans="1:32" ht="15" thickBot="1">
      <c r="A69" s="84"/>
      <c r="B69" s="84" t="str">
        <f t="shared" si="89"/>
        <v>INVIHR11AMB1SAEU01NK</v>
      </c>
      <c r="C69" s="352"/>
      <c r="D69" s="64" t="s">
        <v>40</v>
      </c>
      <c r="E69" s="285">
        <f>'[2]NAT_13XX_INSIDE VPRN'!$K$7</f>
        <v>1530</v>
      </c>
      <c r="F69" s="286" t="s">
        <v>1347</v>
      </c>
      <c r="G69" s="87" t="s">
        <v>36</v>
      </c>
      <c r="H69" s="87" t="s">
        <v>36</v>
      </c>
      <c r="I69" s="287" t="s">
        <v>696</v>
      </c>
      <c r="J69" s="287" t="s">
        <v>697</v>
      </c>
      <c r="K69" s="288" t="s">
        <v>36</v>
      </c>
      <c r="L69" s="85" t="str">
        <f>L67</f>
        <v>Physical5</v>
      </c>
      <c r="M69" s="87" t="str">
        <f>""&amp;F69&amp;"-To-LEAF2"</f>
        <v>CMG1_NATINSIDE1300StdbyExt2_UPF-To-LEAF2</v>
      </c>
      <c r="N69" s="14" t="s">
        <v>36</v>
      </c>
      <c r="O69" s="87">
        <f t="shared" ref="O69:Q69" si="91">O68</f>
        <v>100</v>
      </c>
      <c r="P69" s="87">
        <f t="shared" si="91"/>
        <v>100</v>
      </c>
      <c r="Q69" s="87">
        <f t="shared" si="91"/>
        <v>3</v>
      </c>
      <c r="R69" s="87" t="str">
        <f>R68</f>
        <v>BGP</v>
      </c>
      <c r="S69" s="81" t="s">
        <v>36</v>
      </c>
      <c r="T69" s="289" t="str">
        <f t="shared" si="88"/>
        <v>2402:3a80:1fff:8::1</v>
      </c>
      <c r="U69" s="87"/>
      <c r="V69" s="84"/>
      <c r="W69" s="84"/>
      <c r="X69" s="87" t="s">
        <v>36</v>
      </c>
      <c r="Y69" s="153" t="s">
        <v>36</v>
      </c>
      <c r="Z69" s="289" t="str">
        <f t="shared" si="85"/>
        <v>2402:3a80:1fff:8::2</v>
      </c>
      <c r="AA69" s="289" t="str">
        <f t="shared" si="86"/>
        <v>2402:3a80:1fff:8::1</v>
      </c>
      <c r="AB69" s="84"/>
      <c r="AC69" s="84"/>
      <c r="AD69" s="84"/>
      <c r="AE69" s="56"/>
      <c r="AF69" s="56"/>
    </row>
    <row r="70" spans="1:32" s="71" customFormat="1" ht="14.4" thickBot="1">
      <c r="A70" s="66"/>
      <c r="T70" s="107"/>
    </row>
  </sheetData>
  <mergeCells count="18">
    <mergeCell ref="B1:B3"/>
    <mergeCell ref="C4:AA4"/>
    <mergeCell ref="C5:N5"/>
    <mergeCell ref="C54:C58"/>
    <mergeCell ref="C60:C64"/>
    <mergeCell ref="C8:C13"/>
    <mergeCell ref="C23:C27"/>
    <mergeCell ref="O6:Q6"/>
    <mergeCell ref="C29:C36"/>
    <mergeCell ref="C44:C52"/>
    <mergeCell ref="C15:C21"/>
    <mergeCell ref="C38:C42"/>
    <mergeCell ref="S6:T6"/>
    <mergeCell ref="U6:AA6"/>
    <mergeCell ref="C66:C69"/>
    <mergeCell ref="O5:AF5"/>
    <mergeCell ref="AE6:AF6"/>
    <mergeCell ref="AB6:AD6"/>
  </mergeCells>
  <conditionalFormatting sqref="G58">
    <cfRule type="cellIs" dxfId="3" priority="3" operator="equal">
      <formula>"nokia.com"</formula>
    </cfRule>
    <cfRule type="cellIs" dxfId="2" priority="4" operator="between">
      <formula>"99.99.99.0"</formula>
      <formula>"99.99.99.255"</formula>
    </cfRule>
  </conditionalFormatting>
  <conditionalFormatting sqref="G64">
    <cfRule type="cellIs" dxfId="1" priority="1" operator="equal">
      <formula>"nokia.com"</formula>
    </cfRule>
    <cfRule type="cellIs" dxfId="0" priority="2" operator="between">
      <formula>"99.99.99.0"</formula>
      <formula>"99.99.99.255"</formula>
    </cfRule>
  </conditionalFormatting>
  <dataValidations count="2">
    <dataValidation type="list" allowBlank="1" showInputMessage="1" showErrorMessage="1" sqref="R66:R69 R8:R64" xr:uid="{4BD032BE-2B40-4CAC-89C9-7D5F913B806A}">
      <formula1>$R$1:$R$3</formula1>
    </dataValidation>
    <dataValidation type="list" allowBlank="1" showInputMessage="1" showErrorMessage="1" sqref="U66:U69 U8:U64" xr:uid="{A5A3D166-795D-4387-9136-609539441628}">
      <formula1>$U$1:$U$3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724C-B02F-4928-AEFE-CCBB551F0EEE}">
  <sheetPr codeName="Sheet20"/>
  <dimension ref="A1:I88"/>
  <sheetViews>
    <sheetView workbookViewId="0">
      <selection activeCell="A25" sqref="A25:XFD25"/>
    </sheetView>
  </sheetViews>
  <sheetFormatPr defaultRowHeight="14.4"/>
  <cols>
    <col min="1" max="1" width="3" bestFit="1" customWidth="1"/>
    <col min="2" max="2" width="23.21875" bestFit="1" customWidth="1"/>
    <col min="3" max="3" width="9" bestFit="1" customWidth="1"/>
    <col min="4" max="4" width="8.5546875" customWidth="1"/>
    <col min="5" max="5" width="9.5546875" bestFit="1" customWidth="1"/>
    <col min="6" max="6" width="13.33203125" bestFit="1" customWidth="1"/>
    <col min="7" max="7" width="17.21875" bestFit="1" customWidth="1"/>
    <col min="8" max="8" width="31.5546875" bestFit="1" customWidth="1"/>
    <col min="9" max="9" width="15" bestFit="1" customWidth="1"/>
  </cols>
  <sheetData>
    <row r="1" spans="1:9">
      <c r="A1" s="58" t="s">
        <v>6</v>
      </c>
      <c r="B1" s="348" t="s">
        <v>378</v>
      </c>
      <c r="C1" s="304" t="s">
        <v>1429</v>
      </c>
      <c r="D1" s="217" t="s">
        <v>536</v>
      </c>
      <c r="E1" s="50" t="s">
        <v>536</v>
      </c>
      <c r="F1" s="50" t="s">
        <v>536</v>
      </c>
      <c r="G1" s="50" t="s">
        <v>536</v>
      </c>
      <c r="H1" s="218" t="s">
        <v>536</v>
      </c>
      <c r="I1" s="238" t="s">
        <v>536</v>
      </c>
    </row>
    <row r="2" spans="1:9">
      <c r="A2" s="58" t="s">
        <v>6</v>
      </c>
      <c r="B2" s="349"/>
      <c r="C2" s="125"/>
      <c r="D2" s="50" t="s">
        <v>36</v>
      </c>
      <c r="E2" s="217" t="s">
        <v>36</v>
      </c>
      <c r="F2" s="217" t="s">
        <v>36</v>
      </c>
      <c r="G2" s="217" t="s">
        <v>36</v>
      </c>
      <c r="H2" s="218" t="s">
        <v>36</v>
      </c>
      <c r="I2" s="238" t="s">
        <v>36</v>
      </c>
    </row>
    <row r="3" spans="1:9">
      <c r="A3" s="58" t="s">
        <v>6</v>
      </c>
      <c r="B3" s="350"/>
      <c r="C3" s="126"/>
      <c r="D3" s="50"/>
      <c r="E3" s="51"/>
      <c r="F3" s="51"/>
      <c r="G3" s="56"/>
      <c r="H3" s="56"/>
    </row>
    <row r="4" spans="1:9">
      <c r="A4" s="5" t="s">
        <v>6</v>
      </c>
      <c r="B4" s="7" t="s">
        <v>14</v>
      </c>
      <c r="C4" s="20"/>
    </row>
    <row r="5" spans="1:9">
      <c r="A5" s="5" t="s">
        <v>6</v>
      </c>
      <c r="B5" s="128" t="s">
        <v>15</v>
      </c>
      <c r="C5" s="20"/>
    </row>
    <row r="6" spans="1:9">
      <c r="A6" s="5" t="s">
        <v>6</v>
      </c>
      <c r="B6" s="8" t="s">
        <v>16</v>
      </c>
      <c r="C6" s="20"/>
    </row>
    <row r="7" spans="1:9">
      <c r="B7" s="31" t="s">
        <v>17</v>
      </c>
      <c r="C7" s="31" t="s">
        <v>593</v>
      </c>
      <c r="D7" s="31" t="s">
        <v>97</v>
      </c>
      <c r="E7" s="31" t="s">
        <v>922</v>
      </c>
      <c r="F7" s="32" t="s">
        <v>545</v>
      </c>
      <c r="G7" s="31" t="s">
        <v>923</v>
      </c>
      <c r="H7" s="31" t="s">
        <v>924</v>
      </c>
      <c r="I7" s="35" t="s">
        <v>925</v>
      </c>
    </row>
    <row r="8" spans="1:9">
      <c r="B8" s="295" t="str">
        <f>Node!B8</f>
        <v>INVIHR11AMB1SAEC01NK</v>
      </c>
      <c r="C8" s="131">
        <v>1</v>
      </c>
      <c r="D8" s="296" t="s">
        <v>36</v>
      </c>
      <c r="E8" s="296" t="s">
        <v>36</v>
      </c>
      <c r="F8" s="296" t="s">
        <v>36</v>
      </c>
      <c r="G8" s="296" t="s">
        <v>36</v>
      </c>
      <c r="H8" s="296" t="s">
        <v>36</v>
      </c>
      <c r="I8" s="270" t="s">
        <v>36</v>
      </c>
    </row>
    <row r="9" spans="1:9">
      <c r="B9" s="297" t="str">
        <f>Node!B8</f>
        <v>INVIHR11AMB1SAEC01NK</v>
      </c>
      <c r="C9" s="296">
        <v>2</v>
      </c>
      <c r="D9" s="296" t="s">
        <v>36</v>
      </c>
      <c r="E9" s="296" t="s">
        <v>36</v>
      </c>
      <c r="F9" s="296" t="s">
        <v>36</v>
      </c>
      <c r="G9" s="296" t="s">
        <v>36</v>
      </c>
      <c r="H9" s="296" t="s">
        <v>36</v>
      </c>
      <c r="I9" s="270" t="s">
        <v>36</v>
      </c>
    </row>
    <row r="10" spans="1:9">
      <c r="B10" s="297" t="str">
        <f>Node!B8</f>
        <v>INVIHR11AMB1SAEC01NK</v>
      </c>
      <c r="C10" s="296">
        <v>3</v>
      </c>
      <c r="D10" s="296" t="s">
        <v>36</v>
      </c>
      <c r="E10" s="296" t="s">
        <v>36</v>
      </c>
      <c r="F10" s="296" t="s">
        <v>36</v>
      </c>
      <c r="G10" s="296" t="s">
        <v>36</v>
      </c>
      <c r="H10" s="296" t="s">
        <v>36</v>
      </c>
      <c r="I10" s="270" t="s">
        <v>36</v>
      </c>
    </row>
    <row r="11" spans="1:9">
      <c r="B11" s="297" t="str">
        <f>Node!B8</f>
        <v>INVIHR11AMB1SAEC01NK</v>
      </c>
      <c r="C11" s="131">
        <v>4</v>
      </c>
      <c r="D11" s="296" t="s">
        <v>36</v>
      </c>
      <c r="E11" s="296" t="s">
        <v>36</v>
      </c>
      <c r="F11" s="296" t="s">
        <v>36</v>
      </c>
      <c r="G11" s="296" t="s">
        <v>36</v>
      </c>
      <c r="H11" s="296" t="s">
        <v>36</v>
      </c>
      <c r="I11" s="270" t="s">
        <v>36</v>
      </c>
    </row>
    <row r="12" spans="1:9">
      <c r="B12" s="297" t="str">
        <f>Node!B8</f>
        <v>INVIHR11AMB1SAEC01NK</v>
      </c>
      <c r="C12" s="296">
        <v>5</v>
      </c>
      <c r="D12" s="296" t="s">
        <v>36</v>
      </c>
      <c r="E12" s="296" t="s">
        <v>36</v>
      </c>
      <c r="F12" s="296" t="s">
        <v>36</v>
      </c>
      <c r="G12" s="296" t="s">
        <v>36</v>
      </c>
      <c r="H12" s="296" t="s">
        <v>36</v>
      </c>
      <c r="I12" s="270" t="s">
        <v>36</v>
      </c>
    </row>
    <row r="13" spans="1:9">
      <c r="B13" s="297" t="str">
        <f>Node!B8</f>
        <v>INVIHR11AMB1SAEC01NK</v>
      </c>
      <c r="C13" s="296">
        <v>6</v>
      </c>
      <c r="D13" s="296" t="s">
        <v>36</v>
      </c>
      <c r="E13" s="296" t="s">
        <v>36</v>
      </c>
      <c r="F13" s="296" t="s">
        <v>36</v>
      </c>
      <c r="G13" s="296" t="s">
        <v>36</v>
      </c>
      <c r="H13" s="296" t="s">
        <v>36</v>
      </c>
      <c r="I13" s="270" t="s">
        <v>36</v>
      </c>
    </row>
    <row r="14" spans="1:9">
      <c r="B14" s="297" t="str">
        <f>Node!B8</f>
        <v>INVIHR11AMB1SAEC01NK</v>
      </c>
      <c r="C14" s="131">
        <v>7</v>
      </c>
      <c r="D14" s="296" t="s">
        <v>36</v>
      </c>
      <c r="E14" s="296" t="s">
        <v>36</v>
      </c>
      <c r="F14" s="296" t="s">
        <v>36</v>
      </c>
      <c r="G14" s="296" t="s">
        <v>36</v>
      </c>
      <c r="H14" s="296" t="s">
        <v>36</v>
      </c>
      <c r="I14" s="270" t="s">
        <v>36</v>
      </c>
    </row>
    <row r="15" spans="1:9">
      <c r="B15" s="297" t="str">
        <f>Node!B8</f>
        <v>INVIHR11AMB1SAEC01NK</v>
      </c>
      <c r="C15" s="296">
        <v>8</v>
      </c>
      <c r="D15" s="296" t="s">
        <v>36</v>
      </c>
      <c r="E15" s="296" t="s">
        <v>36</v>
      </c>
      <c r="F15" s="296" t="s">
        <v>36</v>
      </c>
      <c r="G15" s="296" t="s">
        <v>36</v>
      </c>
      <c r="H15" s="296" t="s">
        <v>36</v>
      </c>
      <c r="I15" s="270" t="s">
        <v>36</v>
      </c>
    </row>
    <row r="16" spans="1:9">
      <c r="B16" s="297" t="str">
        <f>Node!B8</f>
        <v>INVIHR11AMB1SAEC01NK</v>
      </c>
      <c r="C16" s="296">
        <v>9</v>
      </c>
      <c r="D16" s="296" t="s">
        <v>36</v>
      </c>
      <c r="E16" s="296" t="s">
        <v>36</v>
      </c>
      <c r="F16" s="296" t="s">
        <v>36</v>
      </c>
      <c r="G16" s="296" t="s">
        <v>36</v>
      </c>
      <c r="H16" s="296" t="s">
        <v>36</v>
      </c>
      <c r="I16" s="270" t="s">
        <v>36</v>
      </c>
    </row>
    <row r="17" spans="2:9">
      <c r="B17" s="294" t="str">
        <f>Node!B9</f>
        <v>INVIHR11AMB1SAEU01NK</v>
      </c>
      <c r="C17" s="131">
        <v>1</v>
      </c>
      <c r="D17" s="141" t="s">
        <v>546</v>
      </c>
      <c r="E17" s="130">
        <v>101</v>
      </c>
      <c r="F17" s="130" t="s">
        <v>399</v>
      </c>
      <c r="G17" s="130" t="str">
        <f>_xlfn.CONCAT(D17,"_grp",C17)</f>
        <v>gn_grp1</v>
      </c>
      <c r="H17" s="130" t="s">
        <v>260</v>
      </c>
      <c r="I17" s="270" t="s">
        <v>36</v>
      </c>
    </row>
    <row r="18" spans="2:9">
      <c r="B18" s="293" t="str">
        <f>Node!B9</f>
        <v>INVIHR11AMB1SAEU01NK</v>
      </c>
      <c r="C18" s="131">
        <v>1</v>
      </c>
      <c r="D18" s="130" t="s">
        <v>547</v>
      </c>
      <c r="E18" s="130">
        <v>101</v>
      </c>
      <c r="F18" s="130" t="s">
        <v>399</v>
      </c>
      <c r="G18" s="130" t="str">
        <f t="shared" ref="G18:G24" si="0">_xlfn.CONCAT(D18,"_grp",C18)</f>
        <v>gp_grp1</v>
      </c>
      <c r="H18" s="130" t="s">
        <v>260</v>
      </c>
      <c r="I18" s="270" t="s">
        <v>36</v>
      </c>
    </row>
    <row r="19" spans="2:9">
      <c r="B19" s="293" t="str">
        <f>Node!B9</f>
        <v>INVIHR11AMB1SAEU01NK</v>
      </c>
      <c r="C19" s="131">
        <v>1</v>
      </c>
      <c r="D19" s="130" t="s">
        <v>548</v>
      </c>
      <c r="E19" s="130">
        <v>101</v>
      </c>
      <c r="F19" s="130" t="s">
        <v>399</v>
      </c>
      <c r="G19" s="130" t="str">
        <f t="shared" si="0"/>
        <v>s5_grp1</v>
      </c>
      <c r="H19" s="130" t="s">
        <v>315</v>
      </c>
      <c r="I19" s="270" t="s">
        <v>36</v>
      </c>
    </row>
    <row r="20" spans="2:9">
      <c r="B20" s="293" t="str">
        <f>Node!B9</f>
        <v>INVIHR11AMB1SAEU01NK</v>
      </c>
      <c r="C20" s="131">
        <v>1</v>
      </c>
      <c r="D20" s="130" t="s">
        <v>548</v>
      </c>
      <c r="E20" s="130">
        <v>101</v>
      </c>
      <c r="F20" s="130" t="s">
        <v>571</v>
      </c>
      <c r="G20" s="130" t="s">
        <v>1337</v>
      </c>
      <c r="H20" s="130" t="s">
        <v>260</v>
      </c>
      <c r="I20" s="270" t="s">
        <v>36</v>
      </c>
    </row>
    <row r="21" spans="2:9">
      <c r="B21" s="293" t="str">
        <f>Node!B9</f>
        <v>INVIHR11AMB1SAEU01NK</v>
      </c>
      <c r="C21" s="131">
        <v>1</v>
      </c>
      <c r="D21" s="130" t="s">
        <v>549</v>
      </c>
      <c r="E21" s="130">
        <v>101</v>
      </c>
      <c r="F21" s="130" t="s">
        <v>399</v>
      </c>
      <c r="G21" s="130" t="str">
        <f t="shared" si="0"/>
        <v>s8_grp1</v>
      </c>
      <c r="H21" s="130" t="s">
        <v>315</v>
      </c>
      <c r="I21" s="270" t="s">
        <v>36</v>
      </c>
    </row>
    <row r="22" spans="2:9">
      <c r="B22" s="293" t="str">
        <f>Node!B9</f>
        <v>INVIHR11AMB1SAEU01NK</v>
      </c>
      <c r="C22" s="131">
        <v>1</v>
      </c>
      <c r="D22" s="130" t="s">
        <v>549</v>
      </c>
      <c r="E22" s="130">
        <v>101</v>
      </c>
      <c r="F22" s="130" t="s">
        <v>571</v>
      </c>
      <c r="G22" s="130" t="s">
        <v>1338</v>
      </c>
      <c r="H22" s="130" t="s">
        <v>260</v>
      </c>
      <c r="I22" s="270" t="s">
        <v>36</v>
      </c>
    </row>
    <row r="23" spans="2:9">
      <c r="B23" s="293" t="str">
        <f>Node!B9</f>
        <v>INVIHR11AMB1SAEU01NK</v>
      </c>
      <c r="C23" s="131">
        <v>1</v>
      </c>
      <c r="D23" s="130" t="s">
        <v>551</v>
      </c>
      <c r="E23" s="130">
        <v>101</v>
      </c>
      <c r="F23" s="130" t="s">
        <v>399</v>
      </c>
      <c r="G23" s="130" t="str">
        <f t="shared" si="0"/>
        <v>s1-u_grp1</v>
      </c>
      <c r="H23" s="130" t="s">
        <v>315</v>
      </c>
      <c r="I23" s="270" t="s">
        <v>927</v>
      </c>
    </row>
    <row r="24" spans="2:9">
      <c r="B24" s="293" t="str">
        <f>Node!B9</f>
        <v>INVIHR11AMB1SAEU01NK</v>
      </c>
      <c r="C24" s="131">
        <v>1</v>
      </c>
      <c r="D24" s="130" t="s">
        <v>574</v>
      </c>
      <c r="E24" s="130">
        <v>101</v>
      </c>
      <c r="F24" s="130" t="s">
        <v>399</v>
      </c>
      <c r="G24" s="130" t="str">
        <f t="shared" si="0"/>
        <v>s12_grp1</v>
      </c>
      <c r="H24" s="130" t="s">
        <v>315</v>
      </c>
      <c r="I24" s="270" t="s">
        <v>36</v>
      </c>
    </row>
    <row r="25" spans="2:9">
      <c r="B25" s="293" t="str">
        <f>Node!B9</f>
        <v>INVIHR11AMB1SAEU01NK</v>
      </c>
      <c r="C25" s="131">
        <v>2</v>
      </c>
      <c r="D25" s="141" t="s">
        <v>546</v>
      </c>
      <c r="E25" s="130">
        <v>102</v>
      </c>
      <c r="F25" s="130" t="s">
        <v>399</v>
      </c>
      <c r="G25" s="130" t="str">
        <f>_xlfn.CONCAT(D25,"_grp",C25)</f>
        <v>gn_grp2</v>
      </c>
      <c r="H25" s="130" t="s">
        <v>261</v>
      </c>
      <c r="I25" s="270" t="s">
        <v>36</v>
      </c>
    </row>
    <row r="26" spans="2:9">
      <c r="B26" s="251" t="str">
        <f>Node!B9</f>
        <v>INVIHR11AMB1SAEU01NK</v>
      </c>
      <c r="C26" s="131">
        <v>2</v>
      </c>
      <c r="D26" s="130" t="s">
        <v>547</v>
      </c>
      <c r="E26" s="130">
        <v>102</v>
      </c>
      <c r="F26" s="130" t="s">
        <v>399</v>
      </c>
      <c r="G26" s="130" t="str">
        <f t="shared" ref="G26:G48" si="1">_xlfn.CONCAT(D26,"_grp",C26)</f>
        <v>gp_grp2</v>
      </c>
      <c r="H26" s="130" t="s">
        <v>261</v>
      </c>
      <c r="I26" s="270" t="s">
        <v>36</v>
      </c>
    </row>
    <row r="27" spans="2:9">
      <c r="B27" s="251" t="str">
        <f>Node!B9</f>
        <v>INVIHR11AMB1SAEU01NK</v>
      </c>
      <c r="C27" s="131">
        <v>2</v>
      </c>
      <c r="D27" s="130" t="s">
        <v>548</v>
      </c>
      <c r="E27" s="130">
        <v>102</v>
      </c>
      <c r="F27" s="130" t="s">
        <v>399</v>
      </c>
      <c r="G27" s="130" t="str">
        <f t="shared" si="1"/>
        <v>s5_grp2</v>
      </c>
      <c r="H27" s="130" t="s">
        <v>316</v>
      </c>
      <c r="I27" s="270" t="s">
        <v>36</v>
      </c>
    </row>
    <row r="28" spans="2:9">
      <c r="B28" s="251" t="str">
        <f>Node!B9</f>
        <v>INVIHR11AMB1SAEU01NK</v>
      </c>
      <c r="C28" s="131">
        <v>2</v>
      </c>
      <c r="D28" s="130" t="s">
        <v>548</v>
      </c>
      <c r="E28" s="130">
        <v>102</v>
      </c>
      <c r="F28" s="130" t="s">
        <v>571</v>
      </c>
      <c r="G28" s="130" t="s">
        <v>1339</v>
      </c>
      <c r="H28" s="130" t="s">
        <v>261</v>
      </c>
      <c r="I28" s="270" t="s">
        <v>36</v>
      </c>
    </row>
    <row r="29" spans="2:9">
      <c r="B29" s="251" t="str">
        <f>Node!B9</f>
        <v>INVIHR11AMB1SAEU01NK</v>
      </c>
      <c r="C29" s="131">
        <v>2</v>
      </c>
      <c r="D29" s="130" t="s">
        <v>549</v>
      </c>
      <c r="E29" s="130">
        <v>102</v>
      </c>
      <c r="F29" s="130" t="s">
        <v>399</v>
      </c>
      <c r="G29" s="130" t="str">
        <f t="shared" si="1"/>
        <v>s8_grp2</v>
      </c>
      <c r="H29" s="130" t="s">
        <v>316</v>
      </c>
      <c r="I29" s="270" t="s">
        <v>36</v>
      </c>
    </row>
    <row r="30" spans="2:9">
      <c r="B30" s="251" t="str">
        <f>Node!B9</f>
        <v>INVIHR11AMB1SAEU01NK</v>
      </c>
      <c r="C30" s="131">
        <v>2</v>
      </c>
      <c r="D30" s="130" t="s">
        <v>549</v>
      </c>
      <c r="E30" s="130">
        <v>102</v>
      </c>
      <c r="F30" s="130" t="s">
        <v>571</v>
      </c>
      <c r="G30" s="130" t="s">
        <v>1340</v>
      </c>
      <c r="H30" s="130" t="s">
        <v>261</v>
      </c>
      <c r="I30" s="270" t="s">
        <v>36</v>
      </c>
    </row>
    <row r="31" spans="2:9">
      <c r="B31" s="251" t="str">
        <f>Node!B9</f>
        <v>INVIHR11AMB1SAEU01NK</v>
      </c>
      <c r="C31" s="131">
        <v>2</v>
      </c>
      <c r="D31" s="130" t="s">
        <v>551</v>
      </c>
      <c r="E31" s="130">
        <v>102</v>
      </c>
      <c r="F31" s="130" t="s">
        <v>399</v>
      </c>
      <c r="G31" s="130" t="str">
        <f t="shared" si="1"/>
        <v>s1-u_grp2</v>
      </c>
      <c r="H31" s="130" t="s">
        <v>316</v>
      </c>
      <c r="I31" s="270" t="s">
        <v>927</v>
      </c>
    </row>
    <row r="32" spans="2:9">
      <c r="B32" s="251" t="str">
        <f>Node!B9</f>
        <v>INVIHR11AMB1SAEU01NK</v>
      </c>
      <c r="C32" s="131">
        <v>2</v>
      </c>
      <c r="D32" s="130" t="s">
        <v>574</v>
      </c>
      <c r="E32" s="130">
        <v>102</v>
      </c>
      <c r="F32" s="130" t="s">
        <v>399</v>
      </c>
      <c r="G32" s="130" t="str">
        <f t="shared" si="1"/>
        <v>s12_grp2</v>
      </c>
      <c r="H32" s="130" t="s">
        <v>316</v>
      </c>
      <c r="I32" s="270" t="s">
        <v>36</v>
      </c>
    </row>
    <row r="33" spans="2:9">
      <c r="B33" s="251" t="str">
        <f>Node!B9</f>
        <v>INVIHR11AMB1SAEU01NK</v>
      </c>
      <c r="C33" s="131">
        <v>3</v>
      </c>
      <c r="D33" s="141" t="s">
        <v>546</v>
      </c>
      <c r="E33" s="130">
        <v>103</v>
      </c>
      <c r="F33" s="130" t="s">
        <v>399</v>
      </c>
      <c r="G33" s="130" t="str">
        <f t="shared" si="1"/>
        <v>gn_grp3</v>
      </c>
      <c r="H33" s="130" t="s">
        <v>262</v>
      </c>
      <c r="I33" s="270" t="s">
        <v>36</v>
      </c>
    </row>
    <row r="34" spans="2:9">
      <c r="B34" s="251" t="str">
        <f>Node!B9</f>
        <v>INVIHR11AMB1SAEU01NK</v>
      </c>
      <c r="C34" s="131">
        <v>3</v>
      </c>
      <c r="D34" s="130" t="s">
        <v>547</v>
      </c>
      <c r="E34" s="130">
        <v>103</v>
      </c>
      <c r="F34" s="130" t="s">
        <v>399</v>
      </c>
      <c r="G34" s="130" t="str">
        <f t="shared" si="1"/>
        <v>gp_grp3</v>
      </c>
      <c r="H34" s="130" t="s">
        <v>262</v>
      </c>
      <c r="I34" s="270" t="s">
        <v>36</v>
      </c>
    </row>
    <row r="35" spans="2:9">
      <c r="B35" s="251" t="str">
        <f>Node!B9</f>
        <v>INVIHR11AMB1SAEU01NK</v>
      </c>
      <c r="C35" s="131">
        <v>3</v>
      </c>
      <c r="D35" s="130" t="s">
        <v>548</v>
      </c>
      <c r="E35" s="130">
        <v>103</v>
      </c>
      <c r="F35" s="130" t="s">
        <v>399</v>
      </c>
      <c r="G35" s="130" t="str">
        <f t="shared" si="1"/>
        <v>s5_grp3</v>
      </c>
      <c r="H35" s="130" t="s">
        <v>317</v>
      </c>
      <c r="I35" s="270" t="s">
        <v>36</v>
      </c>
    </row>
    <row r="36" spans="2:9">
      <c r="B36" s="251" t="str">
        <f>Node!B9</f>
        <v>INVIHR11AMB1SAEU01NK</v>
      </c>
      <c r="C36" s="131">
        <v>3</v>
      </c>
      <c r="D36" s="130" t="s">
        <v>548</v>
      </c>
      <c r="E36" s="130">
        <v>103</v>
      </c>
      <c r="F36" s="130" t="s">
        <v>571</v>
      </c>
      <c r="G36" s="130" t="s">
        <v>1341</v>
      </c>
      <c r="H36" s="130" t="s">
        <v>262</v>
      </c>
      <c r="I36" s="270" t="s">
        <v>36</v>
      </c>
    </row>
    <row r="37" spans="2:9">
      <c r="B37" s="251" t="str">
        <f>Node!B9</f>
        <v>INVIHR11AMB1SAEU01NK</v>
      </c>
      <c r="C37" s="131">
        <v>3</v>
      </c>
      <c r="D37" s="130" t="s">
        <v>549</v>
      </c>
      <c r="E37" s="130">
        <v>103</v>
      </c>
      <c r="F37" s="130" t="s">
        <v>399</v>
      </c>
      <c r="G37" s="130" t="str">
        <f t="shared" si="1"/>
        <v>s8_grp3</v>
      </c>
      <c r="H37" s="130" t="s">
        <v>317</v>
      </c>
      <c r="I37" s="270" t="s">
        <v>36</v>
      </c>
    </row>
    <row r="38" spans="2:9">
      <c r="B38" s="251" t="str">
        <f>Node!B9</f>
        <v>INVIHR11AMB1SAEU01NK</v>
      </c>
      <c r="C38" s="131">
        <v>3</v>
      </c>
      <c r="D38" s="130" t="s">
        <v>549</v>
      </c>
      <c r="E38" s="130">
        <v>103</v>
      </c>
      <c r="F38" s="130" t="s">
        <v>571</v>
      </c>
      <c r="G38" s="130" t="s">
        <v>1342</v>
      </c>
      <c r="H38" s="130" t="s">
        <v>262</v>
      </c>
      <c r="I38" s="270" t="s">
        <v>36</v>
      </c>
    </row>
    <row r="39" spans="2:9">
      <c r="B39" s="251" t="str">
        <f>Node!B9</f>
        <v>INVIHR11AMB1SAEU01NK</v>
      </c>
      <c r="C39" s="131">
        <v>3</v>
      </c>
      <c r="D39" s="130" t="s">
        <v>551</v>
      </c>
      <c r="E39" s="130">
        <v>103</v>
      </c>
      <c r="F39" s="130" t="s">
        <v>399</v>
      </c>
      <c r="G39" s="130" t="str">
        <f t="shared" si="1"/>
        <v>s1-u_grp3</v>
      </c>
      <c r="H39" s="130" t="s">
        <v>317</v>
      </c>
      <c r="I39" s="270" t="s">
        <v>927</v>
      </c>
    </row>
    <row r="40" spans="2:9">
      <c r="B40" s="251" t="str">
        <f>Node!B9</f>
        <v>INVIHR11AMB1SAEU01NK</v>
      </c>
      <c r="C40" s="131">
        <v>3</v>
      </c>
      <c r="D40" s="130" t="s">
        <v>574</v>
      </c>
      <c r="E40" s="130">
        <v>103</v>
      </c>
      <c r="F40" s="130" t="s">
        <v>399</v>
      </c>
      <c r="G40" s="130" t="str">
        <f t="shared" si="1"/>
        <v>s12_grp3</v>
      </c>
      <c r="H40" s="130" t="s">
        <v>317</v>
      </c>
      <c r="I40" s="270" t="s">
        <v>36</v>
      </c>
    </row>
    <row r="41" spans="2:9">
      <c r="B41" s="251" t="str">
        <f>Node!B9</f>
        <v>INVIHR11AMB1SAEU01NK</v>
      </c>
      <c r="C41" s="131">
        <v>4</v>
      </c>
      <c r="D41" s="141" t="s">
        <v>546</v>
      </c>
      <c r="E41" s="130">
        <v>104</v>
      </c>
      <c r="F41" s="130" t="s">
        <v>399</v>
      </c>
      <c r="G41" s="130" t="str">
        <f t="shared" si="1"/>
        <v>gn_grp4</v>
      </c>
      <c r="H41" s="130" t="s">
        <v>263</v>
      </c>
      <c r="I41" s="270" t="s">
        <v>36</v>
      </c>
    </row>
    <row r="42" spans="2:9">
      <c r="B42" s="251" t="str">
        <f>Node!B9</f>
        <v>INVIHR11AMB1SAEU01NK</v>
      </c>
      <c r="C42" s="131">
        <v>4</v>
      </c>
      <c r="D42" s="130" t="s">
        <v>547</v>
      </c>
      <c r="E42" s="130">
        <v>104</v>
      </c>
      <c r="F42" s="130" t="s">
        <v>399</v>
      </c>
      <c r="G42" s="130" t="str">
        <f t="shared" si="1"/>
        <v>gp_grp4</v>
      </c>
      <c r="H42" s="130" t="s">
        <v>263</v>
      </c>
      <c r="I42" s="270" t="s">
        <v>36</v>
      </c>
    </row>
    <row r="43" spans="2:9">
      <c r="B43" s="251" t="str">
        <f>Node!B9</f>
        <v>INVIHR11AMB1SAEU01NK</v>
      </c>
      <c r="C43" s="131">
        <v>4</v>
      </c>
      <c r="D43" s="130" t="s">
        <v>548</v>
      </c>
      <c r="E43" s="130">
        <v>104</v>
      </c>
      <c r="F43" s="130" t="s">
        <v>399</v>
      </c>
      <c r="G43" s="130" t="str">
        <f t="shared" si="1"/>
        <v>s5_grp4</v>
      </c>
      <c r="H43" s="130" t="s">
        <v>318</v>
      </c>
      <c r="I43" s="270" t="s">
        <v>36</v>
      </c>
    </row>
    <row r="44" spans="2:9">
      <c r="B44" s="251" t="str">
        <f>Node!B9</f>
        <v>INVIHR11AMB1SAEU01NK</v>
      </c>
      <c r="C44" s="131">
        <v>4</v>
      </c>
      <c r="D44" s="130" t="s">
        <v>548</v>
      </c>
      <c r="E44" s="130">
        <v>104</v>
      </c>
      <c r="F44" s="130" t="s">
        <v>571</v>
      </c>
      <c r="G44" s="130" t="s">
        <v>1343</v>
      </c>
      <c r="H44" s="130" t="s">
        <v>263</v>
      </c>
      <c r="I44" s="270" t="s">
        <v>36</v>
      </c>
    </row>
    <row r="45" spans="2:9">
      <c r="B45" s="251" t="str">
        <f>Node!B9</f>
        <v>INVIHR11AMB1SAEU01NK</v>
      </c>
      <c r="C45" s="131">
        <v>4</v>
      </c>
      <c r="D45" s="130" t="s">
        <v>549</v>
      </c>
      <c r="E45" s="130">
        <v>104</v>
      </c>
      <c r="F45" s="130" t="s">
        <v>399</v>
      </c>
      <c r="G45" s="130" t="str">
        <f t="shared" si="1"/>
        <v>s8_grp4</v>
      </c>
      <c r="H45" s="130" t="s">
        <v>318</v>
      </c>
      <c r="I45" s="270" t="s">
        <v>36</v>
      </c>
    </row>
    <row r="46" spans="2:9">
      <c r="B46" s="251" t="str">
        <f>Node!B9</f>
        <v>INVIHR11AMB1SAEU01NK</v>
      </c>
      <c r="C46" s="131">
        <v>4</v>
      </c>
      <c r="D46" s="130" t="s">
        <v>549</v>
      </c>
      <c r="E46" s="130">
        <v>104</v>
      </c>
      <c r="F46" s="130" t="s">
        <v>571</v>
      </c>
      <c r="G46" s="130" t="s">
        <v>1344</v>
      </c>
      <c r="H46" s="130" t="s">
        <v>263</v>
      </c>
      <c r="I46" s="270" t="s">
        <v>36</v>
      </c>
    </row>
    <row r="47" spans="2:9">
      <c r="B47" s="251" t="str">
        <f>Node!B9</f>
        <v>INVIHR11AMB1SAEU01NK</v>
      </c>
      <c r="C47" s="131">
        <v>4</v>
      </c>
      <c r="D47" s="130" t="s">
        <v>551</v>
      </c>
      <c r="E47" s="130">
        <v>104</v>
      </c>
      <c r="F47" s="130" t="s">
        <v>399</v>
      </c>
      <c r="G47" s="130" t="str">
        <f t="shared" si="1"/>
        <v>s1-u_grp4</v>
      </c>
      <c r="H47" s="130" t="s">
        <v>318</v>
      </c>
      <c r="I47" s="270" t="s">
        <v>927</v>
      </c>
    </row>
    <row r="48" spans="2:9">
      <c r="B48" s="251" t="str">
        <f>Node!B9</f>
        <v>INVIHR11AMB1SAEU01NK</v>
      </c>
      <c r="C48" s="131">
        <v>4</v>
      </c>
      <c r="D48" s="130" t="s">
        <v>574</v>
      </c>
      <c r="E48" s="130">
        <v>104</v>
      </c>
      <c r="F48" s="130" t="s">
        <v>399</v>
      </c>
      <c r="G48" s="130" t="str">
        <f t="shared" si="1"/>
        <v>s12_grp4</v>
      </c>
      <c r="H48" s="130" t="s">
        <v>318</v>
      </c>
      <c r="I48" s="270" t="s">
        <v>36</v>
      </c>
    </row>
    <row r="49" spans="2:9">
      <c r="B49" s="251" t="str">
        <f>Node!B9</f>
        <v>INVIHR11AMB1SAEU01NK</v>
      </c>
      <c r="C49" s="131">
        <v>5</v>
      </c>
      <c r="D49" s="141" t="s">
        <v>546</v>
      </c>
      <c r="E49" s="130">
        <v>105</v>
      </c>
      <c r="F49" s="130" t="s">
        <v>399</v>
      </c>
      <c r="G49" s="130" t="str">
        <f>_xlfn.CONCAT(D50,"_grp",C50)</f>
        <v>gp_grp5</v>
      </c>
      <c r="H49" s="130" t="s">
        <v>1399</v>
      </c>
      <c r="I49" s="270" t="s">
        <v>36</v>
      </c>
    </row>
    <row r="50" spans="2:9">
      <c r="B50" s="251" t="str">
        <f>Node!B9</f>
        <v>INVIHR11AMB1SAEU01NK</v>
      </c>
      <c r="C50" s="131">
        <v>5</v>
      </c>
      <c r="D50" s="130" t="s">
        <v>547</v>
      </c>
      <c r="E50" s="130">
        <v>105</v>
      </c>
      <c r="F50" s="130" t="s">
        <v>399</v>
      </c>
      <c r="G50" s="130" t="str">
        <f t="shared" ref="G50:G56" si="2">_xlfn.CONCAT(D50,"_grp",C50)</f>
        <v>gp_grp5</v>
      </c>
      <c r="H50" s="130" t="s">
        <v>1399</v>
      </c>
      <c r="I50" s="270" t="s">
        <v>36</v>
      </c>
    </row>
    <row r="51" spans="2:9">
      <c r="B51" s="251" t="str">
        <f>Node!B9</f>
        <v>INVIHR11AMB1SAEU01NK</v>
      </c>
      <c r="C51" s="131">
        <v>5</v>
      </c>
      <c r="D51" s="130" t="s">
        <v>548</v>
      </c>
      <c r="E51" s="130">
        <v>105</v>
      </c>
      <c r="F51" s="130" t="s">
        <v>399</v>
      </c>
      <c r="G51" s="130" t="str">
        <f t="shared" si="2"/>
        <v>s5_grp5</v>
      </c>
      <c r="H51" s="130" t="s">
        <v>1400</v>
      </c>
      <c r="I51" s="270" t="s">
        <v>36</v>
      </c>
    </row>
    <row r="52" spans="2:9">
      <c r="B52" s="251" t="str">
        <f>Node!B9</f>
        <v>INVIHR11AMB1SAEU01NK</v>
      </c>
      <c r="C52" s="131">
        <v>5</v>
      </c>
      <c r="D52" s="130" t="s">
        <v>548</v>
      </c>
      <c r="E52" s="130">
        <v>105</v>
      </c>
      <c r="F52" s="130" t="s">
        <v>571</v>
      </c>
      <c r="G52" s="130" t="s">
        <v>1401</v>
      </c>
      <c r="H52" s="130" t="s">
        <v>1399</v>
      </c>
      <c r="I52" s="270" t="s">
        <v>36</v>
      </c>
    </row>
    <row r="53" spans="2:9">
      <c r="B53" s="251" t="str">
        <f>Node!B9</f>
        <v>INVIHR11AMB1SAEU01NK</v>
      </c>
      <c r="C53" s="131">
        <v>5</v>
      </c>
      <c r="D53" s="130" t="s">
        <v>549</v>
      </c>
      <c r="E53" s="130">
        <v>105</v>
      </c>
      <c r="F53" s="130" t="s">
        <v>399</v>
      </c>
      <c r="G53" s="130" t="str">
        <f t="shared" si="2"/>
        <v>s8_grp5</v>
      </c>
      <c r="H53" s="130" t="s">
        <v>1400</v>
      </c>
      <c r="I53" s="270" t="s">
        <v>36</v>
      </c>
    </row>
    <row r="54" spans="2:9">
      <c r="B54" s="251" t="str">
        <f>Node!B9</f>
        <v>INVIHR11AMB1SAEU01NK</v>
      </c>
      <c r="C54" s="131">
        <v>5</v>
      </c>
      <c r="D54" s="130" t="s">
        <v>549</v>
      </c>
      <c r="E54" s="130">
        <v>105</v>
      </c>
      <c r="F54" s="130" t="s">
        <v>571</v>
      </c>
      <c r="G54" s="130" t="s">
        <v>1402</v>
      </c>
      <c r="H54" s="130" t="s">
        <v>1399</v>
      </c>
      <c r="I54" s="270" t="s">
        <v>36</v>
      </c>
    </row>
    <row r="55" spans="2:9">
      <c r="B55" s="251" t="str">
        <f>Node!B9</f>
        <v>INVIHR11AMB1SAEU01NK</v>
      </c>
      <c r="C55" s="131">
        <v>5</v>
      </c>
      <c r="D55" s="130" t="s">
        <v>551</v>
      </c>
      <c r="E55" s="130">
        <v>105</v>
      </c>
      <c r="F55" s="130" t="s">
        <v>399</v>
      </c>
      <c r="G55" s="130" t="str">
        <f t="shared" si="2"/>
        <v>s1-u_grp5</v>
      </c>
      <c r="H55" s="130" t="s">
        <v>1400</v>
      </c>
      <c r="I55" s="270" t="s">
        <v>927</v>
      </c>
    </row>
    <row r="56" spans="2:9">
      <c r="B56" s="251" t="str">
        <f>Node!B9</f>
        <v>INVIHR11AMB1SAEU01NK</v>
      </c>
      <c r="C56" s="131">
        <v>5</v>
      </c>
      <c r="D56" s="130" t="s">
        <v>574</v>
      </c>
      <c r="E56" s="130">
        <v>105</v>
      </c>
      <c r="F56" s="130" t="s">
        <v>399</v>
      </c>
      <c r="G56" s="130" t="str">
        <f t="shared" si="2"/>
        <v>s12_grp5</v>
      </c>
      <c r="H56" s="130" t="s">
        <v>1400</v>
      </c>
      <c r="I56" s="270" t="s">
        <v>36</v>
      </c>
    </row>
    <row r="57" spans="2:9">
      <c r="B57" s="251" t="str">
        <f>Node!B9</f>
        <v>INVIHR11AMB1SAEU01NK</v>
      </c>
      <c r="C57" s="131">
        <v>6</v>
      </c>
      <c r="D57" s="141" t="s">
        <v>546</v>
      </c>
      <c r="E57" s="130">
        <v>106</v>
      </c>
      <c r="F57" s="130" t="s">
        <v>399</v>
      </c>
      <c r="G57" s="130" t="str">
        <f>_xlfn.CONCAT(D59,"_grp",C59)</f>
        <v>s5_grp6</v>
      </c>
      <c r="H57" s="130" t="s">
        <v>1063</v>
      </c>
      <c r="I57" s="270" t="s">
        <v>36</v>
      </c>
    </row>
    <row r="58" spans="2:9">
      <c r="B58" s="251" t="str">
        <f>Node!B9</f>
        <v>INVIHR11AMB1SAEU01NK</v>
      </c>
      <c r="C58" s="131">
        <v>6</v>
      </c>
      <c r="D58" s="130" t="s">
        <v>547</v>
      </c>
      <c r="E58" s="130">
        <v>106</v>
      </c>
      <c r="F58" s="130" t="s">
        <v>399</v>
      </c>
      <c r="G58" s="130" t="str">
        <f t="shared" ref="G58:G63" si="3">_xlfn.CONCAT(D58,"_grp",C58)</f>
        <v>gp_grp6</v>
      </c>
      <c r="H58" s="130" t="s">
        <v>1063</v>
      </c>
      <c r="I58" s="270" t="s">
        <v>36</v>
      </c>
    </row>
    <row r="59" spans="2:9">
      <c r="B59" s="251" t="str">
        <f>Node!B9</f>
        <v>INVIHR11AMB1SAEU01NK</v>
      </c>
      <c r="C59" s="131">
        <v>6</v>
      </c>
      <c r="D59" s="130" t="s">
        <v>548</v>
      </c>
      <c r="E59" s="130">
        <v>106</v>
      </c>
      <c r="F59" s="130" t="s">
        <v>399</v>
      </c>
      <c r="G59" s="130" t="str">
        <f t="shared" si="3"/>
        <v>s5_grp6</v>
      </c>
      <c r="H59" s="130" t="s">
        <v>1062</v>
      </c>
      <c r="I59" s="270" t="s">
        <v>36</v>
      </c>
    </row>
    <row r="60" spans="2:9">
      <c r="B60" s="251" t="str">
        <f>Node!B9</f>
        <v>INVIHR11AMB1SAEU01NK</v>
      </c>
      <c r="C60" s="131">
        <v>6</v>
      </c>
      <c r="D60" s="130" t="s">
        <v>548</v>
      </c>
      <c r="E60" s="130">
        <v>106</v>
      </c>
      <c r="F60" s="130" t="s">
        <v>571</v>
      </c>
      <c r="G60" s="130" t="s">
        <v>1403</v>
      </c>
      <c r="H60" s="130" t="s">
        <v>1063</v>
      </c>
      <c r="I60" s="270" t="s">
        <v>36</v>
      </c>
    </row>
    <row r="61" spans="2:9">
      <c r="B61" s="251" t="str">
        <f>Node!B9</f>
        <v>INVIHR11AMB1SAEU01NK</v>
      </c>
      <c r="C61" s="131">
        <v>6</v>
      </c>
      <c r="D61" s="130" t="s">
        <v>549</v>
      </c>
      <c r="E61" s="130">
        <v>106</v>
      </c>
      <c r="F61" s="130" t="s">
        <v>399</v>
      </c>
      <c r="G61" s="130" t="str">
        <f t="shared" si="3"/>
        <v>s8_grp6</v>
      </c>
      <c r="H61" s="130" t="s">
        <v>1062</v>
      </c>
      <c r="I61" s="270" t="s">
        <v>36</v>
      </c>
    </row>
    <row r="62" spans="2:9">
      <c r="B62" s="251" t="str">
        <f>Node!B9</f>
        <v>INVIHR11AMB1SAEU01NK</v>
      </c>
      <c r="C62" s="131">
        <v>6</v>
      </c>
      <c r="D62" s="130" t="s">
        <v>549</v>
      </c>
      <c r="E62" s="130">
        <v>106</v>
      </c>
      <c r="F62" s="130" t="s">
        <v>571</v>
      </c>
      <c r="G62" s="130" t="s">
        <v>1404</v>
      </c>
      <c r="H62" s="130" t="s">
        <v>1063</v>
      </c>
      <c r="I62" s="270" t="s">
        <v>36</v>
      </c>
    </row>
    <row r="63" spans="2:9">
      <c r="B63" s="251" t="str">
        <f>Node!B9</f>
        <v>INVIHR11AMB1SAEU01NK</v>
      </c>
      <c r="C63" s="131">
        <v>6</v>
      </c>
      <c r="D63" s="130" t="s">
        <v>551</v>
      </c>
      <c r="E63" s="130">
        <v>106</v>
      </c>
      <c r="F63" s="130" t="s">
        <v>399</v>
      </c>
      <c r="G63" s="130" t="str">
        <f t="shared" si="3"/>
        <v>s1-u_grp6</v>
      </c>
      <c r="H63" s="130" t="s">
        <v>1062</v>
      </c>
      <c r="I63" s="270" t="s">
        <v>927</v>
      </c>
    </row>
    <row r="64" spans="2:9">
      <c r="B64" s="251" t="str">
        <f>Node!B9</f>
        <v>INVIHR11AMB1SAEU01NK</v>
      </c>
      <c r="C64" s="131">
        <v>6</v>
      </c>
      <c r="D64" s="130" t="s">
        <v>574</v>
      </c>
      <c r="E64" s="130">
        <v>106</v>
      </c>
      <c r="F64" s="130" t="s">
        <v>399</v>
      </c>
      <c r="G64" s="130" t="str">
        <f>_xlfn.CONCAT(D64,"_grp",C64)</f>
        <v>s12_grp6</v>
      </c>
      <c r="H64" s="130" t="s">
        <v>1062</v>
      </c>
      <c r="I64" s="270" t="s">
        <v>36</v>
      </c>
    </row>
    <row r="65" spans="2:9">
      <c r="B65" s="251" t="str">
        <f>Node!B9</f>
        <v>INVIHR11AMB1SAEU01NK</v>
      </c>
      <c r="C65" s="131">
        <v>7</v>
      </c>
      <c r="D65" s="141" t="s">
        <v>546</v>
      </c>
      <c r="E65" s="130">
        <v>107</v>
      </c>
      <c r="F65" s="130" t="s">
        <v>399</v>
      </c>
      <c r="G65" s="130" t="str">
        <f>_xlfn.CONCAT(D68,"_grp",C68)</f>
        <v>s5_grp7</v>
      </c>
      <c r="H65" s="130" t="s">
        <v>1061</v>
      </c>
      <c r="I65" s="270" t="s">
        <v>36</v>
      </c>
    </row>
    <row r="66" spans="2:9">
      <c r="B66" s="251" t="str">
        <f>Node!B9</f>
        <v>INVIHR11AMB1SAEU01NK</v>
      </c>
      <c r="C66" s="131">
        <v>7</v>
      </c>
      <c r="D66" s="130" t="s">
        <v>547</v>
      </c>
      <c r="E66" s="130">
        <v>107</v>
      </c>
      <c r="F66" s="130" t="s">
        <v>399</v>
      </c>
      <c r="G66" s="130" t="str">
        <f t="shared" ref="G66:G71" si="4">_xlfn.CONCAT(D66,"_grp",C66)</f>
        <v>gp_grp7</v>
      </c>
      <c r="H66" s="130" t="s">
        <v>1061</v>
      </c>
      <c r="I66" s="270" t="s">
        <v>36</v>
      </c>
    </row>
    <row r="67" spans="2:9">
      <c r="B67" s="251" t="str">
        <f>Node!B9</f>
        <v>INVIHR11AMB1SAEU01NK</v>
      </c>
      <c r="C67" s="131">
        <v>7</v>
      </c>
      <c r="D67" s="130" t="s">
        <v>548</v>
      </c>
      <c r="E67" s="130">
        <v>107</v>
      </c>
      <c r="F67" s="130" t="s">
        <v>399</v>
      </c>
      <c r="G67" s="130" t="str">
        <f>_xlfn.CONCAT(D68,"_grp",C68)</f>
        <v>s5_grp7</v>
      </c>
      <c r="H67" s="130" t="s">
        <v>1060</v>
      </c>
      <c r="I67" s="270" t="s">
        <v>36</v>
      </c>
    </row>
    <row r="68" spans="2:9">
      <c r="B68" s="251" t="str">
        <f>Node!B9</f>
        <v>INVIHR11AMB1SAEU01NK</v>
      </c>
      <c r="C68" s="131">
        <v>7</v>
      </c>
      <c r="D68" s="130" t="s">
        <v>548</v>
      </c>
      <c r="E68" s="130">
        <v>107</v>
      </c>
      <c r="F68" s="130" t="s">
        <v>571</v>
      </c>
      <c r="G68" s="130" t="s">
        <v>1405</v>
      </c>
      <c r="H68" s="130" t="s">
        <v>1061</v>
      </c>
      <c r="I68" s="270" t="s">
        <v>36</v>
      </c>
    </row>
    <row r="69" spans="2:9">
      <c r="B69" s="251" t="str">
        <f>Node!B9</f>
        <v>INVIHR11AMB1SAEU01NK</v>
      </c>
      <c r="C69" s="131">
        <v>7</v>
      </c>
      <c r="D69" s="130" t="s">
        <v>549</v>
      </c>
      <c r="E69" s="130">
        <v>107</v>
      </c>
      <c r="F69" s="130" t="s">
        <v>399</v>
      </c>
      <c r="G69" s="130" t="str">
        <f t="shared" si="4"/>
        <v>s8_grp7</v>
      </c>
      <c r="H69" s="130" t="s">
        <v>1060</v>
      </c>
      <c r="I69" s="270" t="s">
        <v>36</v>
      </c>
    </row>
    <row r="70" spans="2:9">
      <c r="B70" s="251" t="str">
        <f>Node!B9</f>
        <v>INVIHR11AMB1SAEU01NK</v>
      </c>
      <c r="C70" s="131">
        <v>7</v>
      </c>
      <c r="D70" s="130" t="s">
        <v>549</v>
      </c>
      <c r="E70" s="130">
        <v>107</v>
      </c>
      <c r="F70" s="130" t="s">
        <v>571</v>
      </c>
      <c r="G70" s="130" t="s">
        <v>1406</v>
      </c>
      <c r="H70" s="130" t="s">
        <v>1061</v>
      </c>
      <c r="I70" s="270" t="s">
        <v>36</v>
      </c>
    </row>
    <row r="71" spans="2:9">
      <c r="B71" s="251" t="str">
        <f>Node!B9</f>
        <v>INVIHR11AMB1SAEU01NK</v>
      </c>
      <c r="C71" s="131">
        <v>7</v>
      </c>
      <c r="D71" s="130" t="s">
        <v>551</v>
      </c>
      <c r="E71" s="130">
        <v>107</v>
      </c>
      <c r="F71" s="130" t="s">
        <v>399</v>
      </c>
      <c r="G71" s="130" t="str">
        <f t="shared" si="4"/>
        <v>s1-u_grp7</v>
      </c>
      <c r="H71" s="130" t="s">
        <v>1060</v>
      </c>
      <c r="I71" s="270" t="s">
        <v>927</v>
      </c>
    </row>
    <row r="72" spans="2:9">
      <c r="B72" s="251" t="str">
        <f>Node!B9</f>
        <v>INVIHR11AMB1SAEU01NK</v>
      </c>
      <c r="C72" s="131">
        <v>7</v>
      </c>
      <c r="D72" s="130" t="s">
        <v>574</v>
      </c>
      <c r="E72" s="130">
        <v>107</v>
      </c>
      <c r="F72" s="130" t="s">
        <v>399</v>
      </c>
      <c r="G72" s="130" t="str">
        <f>_xlfn.CONCAT(D72,"_grp",C72)</f>
        <v>s12_grp7</v>
      </c>
      <c r="H72" s="130" t="s">
        <v>1060</v>
      </c>
      <c r="I72" s="270" t="s">
        <v>36</v>
      </c>
    </row>
    <row r="73" spans="2:9">
      <c r="B73" s="251" t="str">
        <f>Node!B9</f>
        <v>INVIHR11AMB1SAEU01NK</v>
      </c>
      <c r="C73" s="131">
        <v>8</v>
      </c>
      <c r="D73" s="141" t="s">
        <v>546</v>
      </c>
      <c r="E73" s="130">
        <v>108</v>
      </c>
      <c r="F73" s="130" t="s">
        <v>399</v>
      </c>
      <c r="G73" s="130" t="str">
        <f>_xlfn.CONCAT(D77,"_grp",C77)</f>
        <v>s8_grp8</v>
      </c>
      <c r="H73" s="130" t="s">
        <v>1059</v>
      </c>
      <c r="I73" s="270" t="s">
        <v>36</v>
      </c>
    </row>
    <row r="74" spans="2:9">
      <c r="B74" s="251" t="str">
        <f>Node!B9</f>
        <v>INVIHR11AMB1SAEU01NK</v>
      </c>
      <c r="C74" s="131">
        <v>8</v>
      </c>
      <c r="D74" s="130" t="s">
        <v>547</v>
      </c>
      <c r="E74" s="130">
        <v>108</v>
      </c>
      <c r="F74" s="130" t="s">
        <v>399</v>
      </c>
      <c r="G74" s="130" t="str">
        <f t="shared" ref="G74:G79" si="5">_xlfn.CONCAT(D74,"_grp",C74)</f>
        <v>gp_grp8</v>
      </c>
      <c r="H74" s="130" t="s">
        <v>1059</v>
      </c>
      <c r="I74" s="270" t="s">
        <v>36</v>
      </c>
    </row>
    <row r="75" spans="2:9">
      <c r="B75" s="251" t="str">
        <f>Node!B9</f>
        <v>INVIHR11AMB1SAEU01NK</v>
      </c>
      <c r="C75" s="131">
        <v>8</v>
      </c>
      <c r="D75" s="130" t="s">
        <v>548</v>
      </c>
      <c r="E75" s="130">
        <v>108</v>
      </c>
      <c r="F75" s="130" t="s">
        <v>399</v>
      </c>
      <c r="G75" s="130" t="str">
        <f t="shared" si="5"/>
        <v>s5_grp8</v>
      </c>
      <c r="H75" s="130" t="s">
        <v>1058</v>
      </c>
      <c r="I75" s="270" t="s">
        <v>36</v>
      </c>
    </row>
    <row r="76" spans="2:9">
      <c r="B76" s="251" t="str">
        <f>Node!B9</f>
        <v>INVIHR11AMB1SAEU01NK</v>
      </c>
      <c r="C76" s="131">
        <v>8</v>
      </c>
      <c r="D76" s="130" t="s">
        <v>548</v>
      </c>
      <c r="E76" s="130">
        <v>108</v>
      </c>
      <c r="F76" s="130" t="s">
        <v>571</v>
      </c>
      <c r="G76" s="130" t="s">
        <v>1407</v>
      </c>
      <c r="H76" s="130" t="s">
        <v>1059</v>
      </c>
      <c r="I76" s="270" t="s">
        <v>36</v>
      </c>
    </row>
    <row r="77" spans="2:9">
      <c r="B77" s="251" t="str">
        <f>Node!B9</f>
        <v>INVIHR11AMB1SAEU01NK</v>
      </c>
      <c r="C77" s="131">
        <v>8</v>
      </c>
      <c r="D77" s="130" t="s">
        <v>549</v>
      </c>
      <c r="E77" s="130">
        <v>108</v>
      </c>
      <c r="F77" s="130" t="s">
        <v>399</v>
      </c>
      <c r="G77" s="130" t="str">
        <f t="shared" si="5"/>
        <v>s8_grp8</v>
      </c>
      <c r="H77" s="130" t="s">
        <v>1058</v>
      </c>
      <c r="I77" s="270" t="s">
        <v>36</v>
      </c>
    </row>
    <row r="78" spans="2:9">
      <c r="B78" s="251" t="str">
        <f>Node!B9</f>
        <v>INVIHR11AMB1SAEU01NK</v>
      </c>
      <c r="C78" s="131">
        <v>8</v>
      </c>
      <c r="D78" s="130" t="s">
        <v>549</v>
      </c>
      <c r="E78" s="130">
        <v>108</v>
      </c>
      <c r="F78" s="130" t="s">
        <v>571</v>
      </c>
      <c r="G78" s="130" t="s">
        <v>1408</v>
      </c>
      <c r="H78" s="130" t="s">
        <v>1059</v>
      </c>
      <c r="I78" s="270" t="s">
        <v>36</v>
      </c>
    </row>
    <row r="79" spans="2:9">
      <c r="B79" s="251" t="str">
        <f>Node!B9</f>
        <v>INVIHR11AMB1SAEU01NK</v>
      </c>
      <c r="C79" s="131">
        <v>8</v>
      </c>
      <c r="D79" s="130" t="s">
        <v>551</v>
      </c>
      <c r="E79" s="130">
        <v>108</v>
      </c>
      <c r="F79" s="130" t="s">
        <v>399</v>
      </c>
      <c r="G79" s="130" t="str">
        <f t="shared" si="5"/>
        <v>s1-u_grp8</v>
      </c>
      <c r="H79" s="130" t="s">
        <v>1058</v>
      </c>
      <c r="I79" s="270" t="s">
        <v>927</v>
      </c>
    </row>
    <row r="80" spans="2:9">
      <c r="B80" s="251" t="str">
        <f>Node!B9</f>
        <v>INVIHR11AMB1SAEU01NK</v>
      </c>
      <c r="C80" s="131">
        <v>8</v>
      </c>
      <c r="D80" s="130" t="s">
        <v>574</v>
      </c>
      <c r="E80" s="130">
        <v>108</v>
      </c>
      <c r="F80" s="130" t="s">
        <v>399</v>
      </c>
      <c r="G80" s="130" t="str">
        <f>_xlfn.CONCAT(D80,"_grp",C80)</f>
        <v>s12_grp8</v>
      </c>
      <c r="H80" s="130" t="s">
        <v>1058</v>
      </c>
      <c r="I80" s="270" t="s">
        <v>36</v>
      </c>
    </row>
    <row r="81" spans="2:9">
      <c r="B81" s="251" t="str">
        <f>Node!B9</f>
        <v>INVIHR11AMB1SAEU01NK</v>
      </c>
      <c r="C81" s="131">
        <v>9</v>
      </c>
      <c r="D81" s="141" t="s">
        <v>546</v>
      </c>
      <c r="E81" s="130">
        <v>109</v>
      </c>
      <c r="F81" s="130" t="s">
        <v>399</v>
      </c>
      <c r="G81" s="130" t="str">
        <f>_xlfn.CONCAT(D86,"_grp",C86)</f>
        <v>s8_grp9</v>
      </c>
      <c r="H81" s="130" t="s">
        <v>1057</v>
      </c>
      <c r="I81" s="270" t="s">
        <v>36</v>
      </c>
    </row>
    <row r="82" spans="2:9">
      <c r="B82" s="251" t="str">
        <f>Node!B9</f>
        <v>INVIHR11AMB1SAEU01NK</v>
      </c>
      <c r="C82" s="131">
        <v>9</v>
      </c>
      <c r="D82" s="130" t="s">
        <v>547</v>
      </c>
      <c r="E82" s="130">
        <v>109</v>
      </c>
      <c r="F82" s="130" t="s">
        <v>399</v>
      </c>
      <c r="G82" s="130" t="str">
        <f t="shared" ref="G82:G88" si="6">_xlfn.CONCAT(D82,"_grp",C82)</f>
        <v>gp_grp9</v>
      </c>
      <c r="H82" s="130" t="s">
        <v>1057</v>
      </c>
      <c r="I82" s="270" t="s">
        <v>36</v>
      </c>
    </row>
    <row r="83" spans="2:9">
      <c r="B83" s="251" t="str">
        <f>Node!B9</f>
        <v>INVIHR11AMB1SAEU01NK</v>
      </c>
      <c r="C83" s="131">
        <v>9</v>
      </c>
      <c r="D83" s="130" t="s">
        <v>548</v>
      </c>
      <c r="E83" s="130">
        <v>109</v>
      </c>
      <c r="F83" s="130" t="s">
        <v>399</v>
      </c>
      <c r="G83" s="130" t="str">
        <f t="shared" si="6"/>
        <v>s5_grp9</v>
      </c>
      <c r="H83" s="130" t="s">
        <v>1056</v>
      </c>
      <c r="I83" s="270" t="s">
        <v>36</v>
      </c>
    </row>
    <row r="84" spans="2:9">
      <c r="B84" s="251" t="str">
        <f>Node!B9</f>
        <v>INVIHR11AMB1SAEU01NK</v>
      </c>
      <c r="C84" s="131">
        <v>9</v>
      </c>
      <c r="D84" s="130" t="s">
        <v>548</v>
      </c>
      <c r="E84" s="130">
        <v>109</v>
      </c>
      <c r="F84" s="130" t="s">
        <v>571</v>
      </c>
      <c r="G84" s="130" t="s">
        <v>1422</v>
      </c>
      <c r="H84" s="130" t="s">
        <v>1057</v>
      </c>
      <c r="I84" s="270" t="s">
        <v>36</v>
      </c>
    </row>
    <row r="85" spans="2:9">
      <c r="B85" s="251" t="str">
        <f>Node!B9</f>
        <v>INVIHR11AMB1SAEU01NK</v>
      </c>
      <c r="C85" s="131">
        <v>9</v>
      </c>
      <c r="D85" s="130" t="s">
        <v>549</v>
      </c>
      <c r="E85" s="130">
        <v>109</v>
      </c>
      <c r="F85" s="130" t="s">
        <v>399</v>
      </c>
      <c r="G85" s="130" t="str">
        <f t="shared" si="6"/>
        <v>s8_grp9</v>
      </c>
      <c r="H85" s="130" t="s">
        <v>1056</v>
      </c>
      <c r="I85" s="270" t="s">
        <v>36</v>
      </c>
    </row>
    <row r="86" spans="2:9">
      <c r="B86" s="251" t="str">
        <f>Node!B9</f>
        <v>INVIHR11AMB1SAEU01NK</v>
      </c>
      <c r="C86" s="131">
        <v>9</v>
      </c>
      <c r="D86" s="130" t="s">
        <v>549</v>
      </c>
      <c r="E86" s="130">
        <v>109</v>
      </c>
      <c r="F86" s="130" t="s">
        <v>571</v>
      </c>
      <c r="G86" s="130" t="s">
        <v>1423</v>
      </c>
      <c r="H86" s="130" t="s">
        <v>1057</v>
      </c>
      <c r="I86" s="270" t="s">
        <v>36</v>
      </c>
    </row>
    <row r="87" spans="2:9">
      <c r="B87" s="251" t="str">
        <f>Node!B9</f>
        <v>INVIHR11AMB1SAEU01NK</v>
      </c>
      <c r="C87" s="131">
        <v>9</v>
      </c>
      <c r="D87" s="130" t="s">
        <v>551</v>
      </c>
      <c r="E87" s="130">
        <v>109</v>
      </c>
      <c r="F87" s="130" t="s">
        <v>399</v>
      </c>
      <c r="G87" s="130" t="str">
        <f t="shared" si="6"/>
        <v>s1-u_grp9</v>
      </c>
      <c r="H87" s="130" t="s">
        <v>1056</v>
      </c>
      <c r="I87" s="270" t="s">
        <v>927</v>
      </c>
    </row>
    <row r="88" spans="2:9">
      <c r="B88" s="251" t="str">
        <f>Node!B9</f>
        <v>INVIHR11AMB1SAEU01NK</v>
      </c>
      <c r="C88" s="131">
        <v>9</v>
      </c>
      <c r="D88" s="130" t="s">
        <v>574</v>
      </c>
      <c r="E88" s="130">
        <v>109</v>
      </c>
      <c r="F88" s="130" t="s">
        <v>399</v>
      </c>
      <c r="G88" s="130" t="str">
        <f t="shared" si="6"/>
        <v>s12_grp9</v>
      </c>
      <c r="H88" s="130" t="s">
        <v>1056</v>
      </c>
      <c r="I88" s="270" t="s">
        <v>36</v>
      </c>
    </row>
  </sheetData>
  <mergeCells count="1">
    <mergeCell ref="B1:B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>
                <anchor moveWithCells="1">
                  <from>
                    <xdr:col>4</xdr:col>
                    <xdr:colOff>1630680</xdr:colOff>
                    <xdr:row>3</xdr:row>
                    <xdr:rowOff>137160</xdr:rowOff>
                  </from>
                  <to>
                    <xdr:col>6</xdr:col>
                    <xdr:colOff>708660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19B1F-7336-4759-9CA0-0901D7D191E2}">
  <sheetPr codeName="Sheet21"/>
  <dimension ref="A1:F8"/>
  <sheetViews>
    <sheetView workbookViewId="0">
      <selection activeCell="B7" sqref="B7:C8"/>
    </sheetView>
  </sheetViews>
  <sheetFormatPr defaultRowHeight="14.4"/>
  <cols>
    <col min="1" max="1" width="3" bestFit="1" customWidth="1"/>
    <col min="2" max="2" width="22.77734375" bestFit="1" customWidth="1"/>
    <col min="3" max="3" width="20.77734375" bestFit="1" customWidth="1"/>
    <col min="4" max="4" width="15.88671875" bestFit="1" customWidth="1"/>
    <col min="5" max="5" width="16" bestFit="1" customWidth="1"/>
    <col min="6" max="6" width="14.33203125" bestFit="1" customWidth="1"/>
  </cols>
  <sheetData>
    <row r="1" spans="1:6">
      <c r="A1" s="58" t="s">
        <v>6</v>
      </c>
      <c r="B1" s="348" t="s">
        <v>378</v>
      </c>
      <c r="C1" s="50" t="s">
        <v>536</v>
      </c>
      <c r="D1" s="50"/>
      <c r="E1" s="50" t="s">
        <v>536</v>
      </c>
      <c r="F1" s="50" t="s">
        <v>536</v>
      </c>
    </row>
    <row r="2" spans="1:6">
      <c r="A2" s="58" t="s">
        <v>6</v>
      </c>
      <c r="B2" s="349"/>
      <c r="C2" s="50"/>
      <c r="D2" s="50"/>
      <c r="E2" s="50"/>
      <c r="F2" s="50"/>
    </row>
    <row r="3" spans="1:6">
      <c r="A3" s="58" t="s">
        <v>6</v>
      </c>
      <c r="B3" s="350"/>
      <c r="C3" s="50"/>
      <c r="D3" s="50"/>
      <c r="E3" s="50"/>
      <c r="F3" s="50"/>
    </row>
    <row r="4" spans="1:6">
      <c r="A4" s="5" t="s">
        <v>6</v>
      </c>
      <c r="B4" s="7" t="s">
        <v>14</v>
      </c>
    </row>
    <row r="5" spans="1:6">
      <c r="A5" s="5" t="s">
        <v>6</v>
      </c>
      <c r="B5" s="128" t="s">
        <v>15</v>
      </c>
    </row>
    <row r="6" spans="1:6" ht="15" thickBot="1">
      <c r="A6" s="5" t="s">
        <v>6</v>
      </c>
      <c r="B6" s="8" t="s">
        <v>16</v>
      </c>
    </row>
    <row r="7" spans="1:6">
      <c r="B7" s="69" t="s">
        <v>17</v>
      </c>
      <c r="C7" s="69" t="s">
        <v>735</v>
      </c>
      <c r="D7" s="69" t="s">
        <v>733</v>
      </c>
      <c r="E7" s="69" t="s">
        <v>731</v>
      </c>
      <c r="F7" s="69" t="s">
        <v>730</v>
      </c>
    </row>
    <row r="8" spans="1:6">
      <c r="B8" s="190" t="str">
        <f>Node!B9</f>
        <v>INVIHR11AMB1SAEU01NK</v>
      </c>
      <c r="C8" s="9" t="s">
        <v>732</v>
      </c>
      <c r="D8" s="9" t="s">
        <v>734</v>
      </c>
      <c r="E8" s="9" t="str">
        <f>IF(ISBLANK('[1]CGNAT Collector'!$F$4),"99.99.99.200/32",('[1]CGNAT Collector'!$F$4))</f>
        <v>10.95.67.134</v>
      </c>
      <c r="F8" s="9" t="str">
        <f>LEFT(RouterBase!G14,FIND("/",RouterBase!G14)-1)</f>
        <v>10.95.67.194</v>
      </c>
    </row>
  </sheetData>
  <mergeCells count="1">
    <mergeCell ref="B1:B3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5507-DFFA-4BE3-A986-FB9471CD71F9}">
  <sheetPr codeName="Sheet22"/>
  <dimension ref="A1:S15"/>
  <sheetViews>
    <sheetView zoomScale="89" zoomScaleNormal="89" workbookViewId="0">
      <selection activeCell="G20" sqref="G20"/>
    </sheetView>
  </sheetViews>
  <sheetFormatPr defaultRowHeight="14.4"/>
  <cols>
    <col min="1" max="1" width="3" bestFit="1" customWidth="1"/>
    <col min="2" max="2" width="22.33203125" bestFit="1" customWidth="1"/>
    <col min="3" max="3" width="9.5546875" customWidth="1"/>
    <col min="4" max="4" width="9.21875" bestFit="1" customWidth="1"/>
    <col min="5" max="5" width="17.109375" bestFit="1" customWidth="1"/>
    <col min="6" max="6" width="14.6640625" bestFit="1" customWidth="1"/>
    <col min="7" max="7" width="10.109375" bestFit="1" customWidth="1"/>
    <col min="8" max="8" width="18" bestFit="1" customWidth="1"/>
    <col min="9" max="9" width="13.109375" bestFit="1" customWidth="1"/>
    <col min="10" max="10" width="10.33203125" bestFit="1" customWidth="1"/>
    <col min="11" max="11" width="21.33203125" bestFit="1" customWidth="1"/>
    <col min="12" max="12" width="18.33203125" bestFit="1" customWidth="1"/>
    <col min="13" max="13" width="17.5546875" bestFit="1" customWidth="1"/>
    <col min="14" max="14" width="15.5546875" bestFit="1" customWidth="1"/>
    <col min="15" max="15" width="15" bestFit="1" customWidth="1"/>
    <col min="16" max="16" width="13.6640625" bestFit="1" customWidth="1"/>
    <col min="17" max="17" width="19.44140625" bestFit="1" customWidth="1"/>
    <col min="18" max="18" width="28.21875" bestFit="1" customWidth="1"/>
    <col min="19" max="19" width="28.109375" bestFit="1" customWidth="1"/>
  </cols>
  <sheetData>
    <row r="1" spans="1:19">
      <c r="A1" s="58" t="s">
        <v>6</v>
      </c>
      <c r="B1" s="348" t="s">
        <v>378</v>
      </c>
      <c r="C1" s="50" t="s">
        <v>536</v>
      </c>
      <c r="D1" s="50"/>
      <c r="E1" s="50"/>
      <c r="F1" s="50" t="s">
        <v>536</v>
      </c>
      <c r="G1" s="50" t="s">
        <v>536</v>
      </c>
      <c r="H1" s="50"/>
      <c r="I1" s="50" t="s">
        <v>536</v>
      </c>
      <c r="J1" s="50" t="s">
        <v>83</v>
      </c>
      <c r="K1" s="50" t="s">
        <v>536</v>
      </c>
      <c r="L1" s="50" t="s">
        <v>536</v>
      </c>
      <c r="M1" s="50" t="s">
        <v>536</v>
      </c>
      <c r="N1" s="50" t="s">
        <v>536</v>
      </c>
      <c r="O1" s="50" t="s">
        <v>536</v>
      </c>
      <c r="P1" s="50" t="s">
        <v>536</v>
      </c>
      <c r="Q1" s="50" t="s">
        <v>536</v>
      </c>
      <c r="R1" s="201" t="s">
        <v>536</v>
      </c>
      <c r="S1" s="201" t="s">
        <v>536</v>
      </c>
    </row>
    <row r="2" spans="1:19">
      <c r="A2" s="58" t="s">
        <v>6</v>
      </c>
      <c r="B2" s="349"/>
      <c r="C2" s="50"/>
      <c r="D2" s="50"/>
      <c r="E2" s="50"/>
      <c r="F2" s="50"/>
      <c r="G2" s="50"/>
      <c r="H2" s="50"/>
      <c r="I2" s="50"/>
      <c r="J2" s="50" t="s">
        <v>84</v>
      </c>
      <c r="K2" s="50"/>
      <c r="L2" s="50"/>
      <c r="M2" s="50"/>
      <c r="N2" s="50" t="s">
        <v>36</v>
      </c>
      <c r="O2" s="50" t="s">
        <v>36</v>
      </c>
      <c r="P2" s="50" t="s">
        <v>36</v>
      </c>
      <c r="Q2" s="50" t="s">
        <v>36</v>
      </c>
      <c r="R2" s="201" t="s">
        <v>36</v>
      </c>
      <c r="S2" s="201" t="s">
        <v>36</v>
      </c>
    </row>
    <row r="3" spans="1:19">
      <c r="A3" s="58" t="s">
        <v>6</v>
      </c>
      <c r="B3" s="3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201"/>
      <c r="S3" s="201"/>
    </row>
    <row r="4" spans="1:19">
      <c r="A4" s="5" t="s">
        <v>6</v>
      </c>
      <c r="B4" s="7" t="s">
        <v>14</v>
      </c>
    </row>
    <row r="5" spans="1:19">
      <c r="A5" s="5" t="s">
        <v>6</v>
      </c>
      <c r="B5" s="128" t="s">
        <v>15</v>
      </c>
    </row>
    <row r="6" spans="1:19" ht="15" thickBot="1">
      <c r="A6" s="5" t="s">
        <v>6</v>
      </c>
      <c r="B6" s="8" t="s">
        <v>16</v>
      </c>
      <c r="E6" s="195" t="s">
        <v>590</v>
      </c>
      <c r="K6" s="345" t="s">
        <v>589</v>
      </c>
      <c r="L6" s="345"/>
      <c r="M6" s="345"/>
      <c r="P6" s="345" t="s">
        <v>768</v>
      </c>
      <c r="Q6" s="345"/>
    </row>
    <row r="7" spans="1:19">
      <c r="B7" s="69" t="s">
        <v>17</v>
      </c>
      <c r="C7" s="69" t="s">
        <v>591</v>
      </c>
      <c r="D7" s="69" t="s">
        <v>592</v>
      </c>
      <c r="E7" s="124" t="s">
        <v>582</v>
      </c>
      <c r="F7" s="69" t="s">
        <v>583</v>
      </c>
      <c r="G7" s="69" t="s">
        <v>748</v>
      </c>
      <c r="H7" s="69" t="s">
        <v>736</v>
      </c>
      <c r="I7" s="69" t="s">
        <v>581</v>
      </c>
      <c r="J7" s="124" t="s">
        <v>746</v>
      </c>
      <c r="K7" s="124" t="s">
        <v>584</v>
      </c>
      <c r="L7" s="124" t="s">
        <v>587</v>
      </c>
      <c r="M7" s="124" t="s">
        <v>588</v>
      </c>
      <c r="N7" s="124" t="s">
        <v>745</v>
      </c>
      <c r="O7" s="188" t="s">
        <v>747</v>
      </c>
      <c r="P7" s="188" t="s">
        <v>767</v>
      </c>
      <c r="Q7" s="188" t="s">
        <v>771</v>
      </c>
      <c r="R7" s="188" t="s">
        <v>769</v>
      </c>
      <c r="S7" s="188" t="s">
        <v>770</v>
      </c>
    </row>
    <row r="8" spans="1:19">
      <c r="B8" s="250" t="str">
        <f>Ipfix!B8</f>
        <v>INVIHR11AMB1SAEU01NK</v>
      </c>
      <c r="C8" s="130">
        <v>1</v>
      </c>
      <c r="D8" s="130">
        <v>1</v>
      </c>
      <c r="E8" s="130">
        <v>1301</v>
      </c>
      <c r="F8" s="196" t="s">
        <v>586</v>
      </c>
      <c r="G8" s="130">
        <v>4</v>
      </c>
      <c r="H8" s="143" t="s">
        <v>732</v>
      </c>
      <c r="I8" s="130">
        <v>201</v>
      </c>
      <c r="J8" s="129" t="s">
        <v>83</v>
      </c>
      <c r="K8" s="129" t="s">
        <v>585</v>
      </c>
      <c r="L8" s="179" t="str">
        <f>'[2]External Interfaces'!$F$53</f>
        <v>112.79.92.0</v>
      </c>
      <c r="M8" s="179" t="str">
        <f>'[2]External Interfaces'!$G$53</f>
        <v>112.79.92.255</v>
      </c>
      <c r="N8" s="130">
        <v>120</v>
      </c>
      <c r="O8" s="130">
        <v>120</v>
      </c>
      <c r="P8" s="130">
        <v>1401</v>
      </c>
      <c r="Q8" s="179" t="str">
        <f>'[2]External Interfaces'!$J$53</f>
        <v>2402:3a80:1fff:3f::/96</v>
      </c>
      <c r="R8" s="7" t="str">
        <f>'[2]External Interfaces'!$K$53</f>
        <v>2402:3a80:1fff:3f::aa8:5d00/120</v>
      </c>
      <c r="S8" s="7" t="str">
        <f>'[2]External Interfaces'!$L$53</f>
        <v>2402:3a80:1fff:3f::aa8:5c00/121</v>
      </c>
    </row>
    <row r="9" spans="1:19">
      <c r="B9" s="123" t="str">
        <f>Node!B9</f>
        <v>INVIHR11AMB1SAEU01NK</v>
      </c>
      <c r="C9" s="130">
        <v>1</v>
      </c>
      <c r="D9" s="130" t="s">
        <v>36</v>
      </c>
      <c r="E9" s="130">
        <v>1301</v>
      </c>
      <c r="F9" s="143" t="s">
        <v>737</v>
      </c>
      <c r="G9" s="130" t="s">
        <v>36</v>
      </c>
      <c r="H9" s="143" t="s">
        <v>732</v>
      </c>
      <c r="I9" s="130">
        <v>201</v>
      </c>
      <c r="J9" s="129" t="s">
        <v>84</v>
      </c>
      <c r="K9" s="129" t="s">
        <v>741</v>
      </c>
      <c r="L9" s="179" t="str">
        <f>'[2]External Interfaces'!$F$54</f>
        <v>1.38.136.152</v>
      </c>
      <c r="M9" s="179" t="str">
        <f>'[2]External Interfaces'!$G$54</f>
        <v>1.38.136.152</v>
      </c>
      <c r="N9" s="189" t="s">
        <v>36</v>
      </c>
      <c r="O9" s="189" t="s">
        <v>36</v>
      </c>
      <c r="P9" s="130" t="s">
        <v>36</v>
      </c>
      <c r="Q9" s="179" t="s">
        <v>36</v>
      </c>
      <c r="R9" s="179" t="s">
        <v>36</v>
      </c>
      <c r="S9" s="179" t="s">
        <v>36</v>
      </c>
    </row>
    <row r="10" spans="1:19">
      <c r="B10" s="123" t="str">
        <f>Node!B9</f>
        <v>INVIHR11AMB1SAEU01NK</v>
      </c>
      <c r="C10" s="130">
        <v>2</v>
      </c>
      <c r="D10" s="130">
        <v>2</v>
      </c>
      <c r="E10" s="130">
        <v>1302</v>
      </c>
      <c r="F10" s="129" t="s">
        <v>687</v>
      </c>
      <c r="G10" s="130">
        <v>4</v>
      </c>
      <c r="H10" s="129" t="s">
        <v>732</v>
      </c>
      <c r="I10" s="130">
        <v>202</v>
      </c>
      <c r="J10" s="129" t="s">
        <v>83</v>
      </c>
      <c r="K10" s="129" t="s">
        <v>686</v>
      </c>
      <c r="L10" s="179" t="str">
        <f>'[2]External Interfaces'!$F$55</f>
        <v>112.79.82.0</v>
      </c>
      <c r="M10" s="179" t="str">
        <f>'[2]External Interfaces'!$G$55</f>
        <v>112.79.83.255</v>
      </c>
      <c r="N10" s="130">
        <v>120</v>
      </c>
      <c r="O10" s="130">
        <v>120</v>
      </c>
      <c r="P10" s="130">
        <v>1402</v>
      </c>
      <c r="Q10" s="179" t="str">
        <f>Q8</f>
        <v>2402:3a80:1fff:3f::/96</v>
      </c>
      <c r="R10" s="179" t="str">
        <f>R8</f>
        <v>2402:3a80:1fff:3f::aa8:5d00/120</v>
      </c>
      <c r="S10" s="179" t="str">
        <f>S8</f>
        <v>2402:3a80:1fff:3f::aa8:5c00/121</v>
      </c>
    </row>
    <row r="11" spans="1:19">
      <c r="B11" s="123" t="str">
        <f>Node!B9</f>
        <v>INVIHR11AMB1SAEU01NK</v>
      </c>
      <c r="C11" s="130">
        <v>2</v>
      </c>
      <c r="D11" s="130" t="s">
        <v>36</v>
      </c>
      <c r="E11" s="130">
        <v>1302</v>
      </c>
      <c r="F11" s="129" t="s">
        <v>738</v>
      </c>
      <c r="G11" s="130" t="s">
        <v>36</v>
      </c>
      <c r="H11" s="129" t="s">
        <v>732</v>
      </c>
      <c r="I11" s="130">
        <v>202</v>
      </c>
      <c r="J11" s="129" t="s">
        <v>84</v>
      </c>
      <c r="K11" s="129" t="s">
        <v>742</v>
      </c>
      <c r="L11" s="179" t="str">
        <f>'[2]External Interfaces'!$F$56</f>
        <v>1.38.136.152</v>
      </c>
      <c r="M11" s="179" t="str">
        <f>'[2]External Interfaces'!$G$56</f>
        <v>1.38.136.152</v>
      </c>
      <c r="N11" s="189" t="s">
        <v>36</v>
      </c>
      <c r="O11" s="189" t="s">
        <v>36</v>
      </c>
      <c r="P11" s="130" t="s">
        <v>36</v>
      </c>
      <c r="Q11" s="179" t="s">
        <v>36</v>
      </c>
      <c r="R11" s="179" t="s">
        <v>36</v>
      </c>
      <c r="S11" s="179" t="s">
        <v>36</v>
      </c>
    </row>
    <row r="12" spans="1:19">
      <c r="B12" s="123" t="str">
        <f>Node!B9</f>
        <v>INVIHR11AMB1SAEU01NK</v>
      </c>
      <c r="C12" s="130">
        <v>3</v>
      </c>
      <c r="D12" s="130">
        <v>3</v>
      </c>
      <c r="E12" s="130">
        <v>1303</v>
      </c>
      <c r="F12" s="129" t="s">
        <v>728</v>
      </c>
      <c r="G12" s="130">
        <v>4</v>
      </c>
      <c r="H12" s="129" t="s">
        <v>732</v>
      </c>
      <c r="I12" s="130">
        <v>203</v>
      </c>
      <c r="J12" s="129" t="s">
        <v>83</v>
      </c>
      <c r="K12" s="129" t="s">
        <v>688</v>
      </c>
      <c r="L12" s="179" t="str">
        <f>'[2]External Interfaces'!$F$57</f>
        <v>112.79.84.0</v>
      </c>
      <c r="M12" s="179" t="str">
        <f>'[2]External Interfaces'!$G$57</f>
        <v>112.79.85.255</v>
      </c>
      <c r="N12" s="130">
        <v>120</v>
      </c>
      <c r="O12" s="130">
        <v>120</v>
      </c>
      <c r="P12" s="130">
        <v>1403</v>
      </c>
      <c r="Q12" s="179" t="str">
        <f>Q10</f>
        <v>2402:3a80:1fff:3f::/96</v>
      </c>
      <c r="R12" s="179" t="str">
        <f>R10</f>
        <v>2402:3a80:1fff:3f::aa8:5d00/120</v>
      </c>
      <c r="S12" s="179" t="str">
        <f>S10</f>
        <v>2402:3a80:1fff:3f::aa8:5c00/121</v>
      </c>
    </row>
    <row r="13" spans="1:19">
      <c r="B13" s="123" t="str">
        <f>Node!B9</f>
        <v>INVIHR11AMB1SAEU01NK</v>
      </c>
      <c r="C13" s="130">
        <v>3</v>
      </c>
      <c r="D13" s="130" t="s">
        <v>36</v>
      </c>
      <c r="E13" s="130">
        <v>1303</v>
      </c>
      <c r="F13" s="129" t="s">
        <v>739</v>
      </c>
      <c r="G13" s="130" t="s">
        <v>36</v>
      </c>
      <c r="H13" s="129" t="s">
        <v>732</v>
      </c>
      <c r="I13" s="130">
        <v>203</v>
      </c>
      <c r="J13" s="129" t="s">
        <v>84</v>
      </c>
      <c r="K13" s="129" t="s">
        <v>743</v>
      </c>
      <c r="L13" s="179" t="str">
        <f>'[2]External Interfaces'!$F$58</f>
        <v>1.38.136.152</v>
      </c>
      <c r="M13" s="179" t="str">
        <f>'[2]External Interfaces'!$G$58</f>
        <v>1.38.136.152</v>
      </c>
      <c r="N13" s="189" t="s">
        <v>36</v>
      </c>
      <c r="O13" s="189" t="s">
        <v>36</v>
      </c>
      <c r="P13" s="130" t="s">
        <v>36</v>
      </c>
      <c r="Q13" s="179" t="s">
        <v>36</v>
      </c>
      <c r="R13" s="179" t="s">
        <v>36</v>
      </c>
      <c r="S13" s="179" t="s">
        <v>36</v>
      </c>
    </row>
    <row r="14" spans="1:19">
      <c r="B14" s="123" t="str">
        <f>Node!B9</f>
        <v>INVIHR11AMB1SAEU01NK</v>
      </c>
      <c r="C14" s="130">
        <v>4</v>
      </c>
      <c r="D14" s="130">
        <v>4</v>
      </c>
      <c r="E14" s="130">
        <v>1304</v>
      </c>
      <c r="F14" s="129" t="s">
        <v>729</v>
      </c>
      <c r="G14" s="130">
        <v>4</v>
      </c>
      <c r="H14" s="129" t="s">
        <v>732</v>
      </c>
      <c r="I14" s="130">
        <v>204</v>
      </c>
      <c r="J14" s="129" t="s">
        <v>83</v>
      </c>
      <c r="K14" s="129" t="s">
        <v>689</v>
      </c>
      <c r="L14" s="179" t="str">
        <f>'[2]External Interfaces'!$F$59</f>
        <v>112.79.86.0</v>
      </c>
      <c r="M14" s="179" t="str">
        <f>'[2]External Interfaces'!$G$59</f>
        <v>112.79.87.255</v>
      </c>
      <c r="N14" s="130">
        <v>120</v>
      </c>
      <c r="O14" s="130">
        <v>120</v>
      </c>
      <c r="P14" s="130">
        <v>1404</v>
      </c>
      <c r="Q14" s="179" t="str">
        <f>Q8</f>
        <v>2402:3a80:1fff:3f::/96</v>
      </c>
      <c r="R14" s="179" t="str">
        <f>R8</f>
        <v>2402:3a80:1fff:3f::aa8:5d00/120</v>
      </c>
      <c r="S14" s="179" t="str">
        <f>S8</f>
        <v>2402:3a80:1fff:3f::aa8:5c00/121</v>
      </c>
    </row>
    <row r="15" spans="1:19">
      <c r="B15" s="123" t="str">
        <f>Node!B9</f>
        <v>INVIHR11AMB1SAEU01NK</v>
      </c>
      <c r="C15" s="130">
        <v>4</v>
      </c>
      <c r="D15" s="130" t="s">
        <v>36</v>
      </c>
      <c r="E15" s="130">
        <v>1304</v>
      </c>
      <c r="F15" s="129" t="s">
        <v>740</v>
      </c>
      <c r="G15" s="130" t="s">
        <v>36</v>
      </c>
      <c r="H15" s="129" t="s">
        <v>732</v>
      </c>
      <c r="I15" s="130">
        <v>204</v>
      </c>
      <c r="J15" s="129" t="s">
        <v>84</v>
      </c>
      <c r="K15" s="129" t="s">
        <v>744</v>
      </c>
      <c r="L15" s="179" t="str">
        <f>'[2]External Interfaces'!$F$60</f>
        <v>1.38.136.152</v>
      </c>
      <c r="M15" s="179" t="str">
        <f>'[2]External Interfaces'!$G$60</f>
        <v>1.38.136.152</v>
      </c>
      <c r="N15" s="189" t="s">
        <v>36</v>
      </c>
      <c r="O15" s="189" t="s">
        <v>36</v>
      </c>
      <c r="P15" s="130" t="s">
        <v>36</v>
      </c>
      <c r="Q15" s="179" t="s">
        <v>36</v>
      </c>
      <c r="R15" s="179" t="s">
        <v>36</v>
      </c>
      <c r="S15" s="179" t="s">
        <v>36</v>
      </c>
    </row>
  </sheetData>
  <mergeCells count="3">
    <mergeCell ref="B1:B3"/>
    <mergeCell ref="K6:M6"/>
    <mergeCell ref="P6:Q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AddNew">
                <anchor moveWithCells="1">
                  <from>
                    <xdr:col>4</xdr:col>
                    <xdr:colOff>1470660</xdr:colOff>
                    <xdr:row>3</xdr:row>
                    <xdr:rowOff>99060</xdr:rowOff>
                  </from>
                  <to>
                    <xdr:col>7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54AC-33FF-4D2F-98AC-67748C432055}">
  <sheetPr codeName="Sheet16"/>
  <dimension ref="A1:AI47"/>
  <sheetViews>
    <sheetView topLeftCell="A2" zoomScale="80" zoomScaleNormal="80" workbookViewId="0">
      <selection activeCell="X44" sqref="X44"/>
    </sheetView>
  </sheetViews>
  <sheetFormatPr defaultColWidth="8.6640625" defaultRowHeight="14.4"/>
  <cols>
    <col min="1" max="1" width="2.6640625" style="59" bestFit="1" customWidth="1"/>
    <col min="2" max="2" width="19" style="59" bestFit="1" customWidth="1"/>
    <col min="3" max="3" width="20" style="59" bestFit="1" customWidth="1"/>
    <col min="4" max="4" width="5.5546875" style="59" bestFit="1" customWidth="1"/>
    <col min="5" max="5" width="6.5546875" style="59" bestFit="1" customWidth="1"/>
    <col min="6" max="6" width="32.44140625" style="59" bestFit="1" customWidth="1"/>
    <col min="7" max="8" width="15.5546875" style="59" bestFit="1" customWidth="1"/>
    <col min="9" max="9" width="21.44140625" style="59" bestFit="1" customWidth="1"/>
    <col min="10" max="10" width="20.6640625" style="59" bestFit="1" customWidth="1"/>
    <col min="11" max="11" width="9.33203125" style="59" customWidth="1"/>
    <col min="12" max="13" width="7.109375" style="59" customWidth="1"/>
    <col min="14" max="14" width="13.33203125" style="59" bestFit="1" customWidth="1"/>
    <col min="15" max="15" width="9.109375" style="59" bestFit="1" customWidth="1"/>
    <col min="16" max="16" width="29.6640625" style="59" bestFit="1" customWidth="1"/>
    <col min="17" max="17" width="6.109375" style="59" bestFit="1" customWidth="1"/>
    <col min="18" max="19" width="4" style="59" bestFit="1" customWidth="1"/>
    <col min="20" max="20" width="9.44140625" style="59" bestFit="1" customWidth="1"/>
    <col min="21" max="21" width="12.109375" style="59" bestFit="1" customWidth="1"/>
    <col min="22" max="22" width="16.109375" style="59" bestFit="1" customWidth="1"/>
    <col min="23" max="23" width="19" style="59" bestFit="1" customWidth="1"/>
    <col min="24" max="24" width="19.88671875" style="59" bestFit="1" customWidth="1"/>
    <col min="25" max="25" width="22.44140625" bestFit="1" customWidth="1"/>
    <col min="26" max="26" width="7.6640625" style="59" bestFit="1" customWidth="1"/>
    <col min="27" max="27" width="14" style="59" bestFit="1" customWidth="1"/>
    <col min="28" max="28" width="17.109375" style="59" bestFit="1" customWidth="1"/>
    <col min="29" max="29" width="14" style="59" bestFit="1" customWidth="1"/>
    <col min="30" max="31" width="11.33203125" style="59" bestFit="1" customWidth="1"/>
    <col min="32" max="33" width="17.5546875" style="59" bestFit="1" customWidth="1"/>
    <col min="34" max="34" width="18.33203125" style="59" bestFit="1" customWidth="1"/>
    <col min="35" max="35" width="15.5546875" style="59" bestFit="1" customWidth="1"/>
    <col min="36" max="16384" width="8.6640625" style="59"/>
  </cols>
  <sheetData>
    <row r="1" spans="1:35" ht="23.4">
      <c r="A1" s="58" t="s">
        <v>6</v>
      </c>
      <c r="B1" s="344" t="s">
        <v>378</v>
      </c>
      <c r="C1" s="50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50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50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thickBot="1">
      <c r="A6" s="60" t="s">
        <v>6</v>
      </c>
      <c r="B6" s="64" t="s">
        <v>16</v>
      </c>
      <c r="C6" s="65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s="71" customFormat="1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B8" s="122" t="str">
        <f>Node!B9</f>
        <v>INVIHR11AMB1SAEU01NK</v>
      </c>
      <c r="C8" s="377" t="s">
        <v>217</v>
      </c>
      <c r="D8" s="72" t="s">
        <v>79</v>
      </c>
      <c r="E8" s="11">
        <f>'[2]UP -CORE'!$I$16</f>
        <v>1106</v>
      </c>
      <c r="F8" s="129" t="s">
        <v>772</v>
      </c>
      <c r="G8" s="130" t="s">
        <v>236</v>
      </c>
      <c r="H8" s="130" t="s">
        <v>210</v>
      </c>
      <c r="I8" s="129" t="s">
        <v>630</v>
      </c>
      <c r="J8" s="129" t="s">
        <v>623</v>
      </c>
      <c r="K8" s="129" t="s">
        <v>36</v>
      </c>
      <c r="L8" s="244" t="s">
        <v>36</v>
      </c>
      <c r="M8" s="132">
        <v>1600</v>
      </c>
      <c r="N8" s="72" t="s">
        <v>64</v>
      </c>
      <c r="O8" s="74"/>
      <c r="P8" s="52" t="str">
        <f>""&amp;F8&amp;"-To-LEAF1"</f>
        <v>UP-CORE-MG3-PORT-1-To-LEAF1</v>
      </c>
      <c r="Q8" s="129">
        <v>101</v>
      </c>
      <c r="R8" s="129">
        <v>100</v>
      </c>
      <c r="S8" s="129">
        <v>100</v>
      </c>
      <c r="T8" s="129">
        <v>3</v>
      </c>
      <c r="U8" s="129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prefix_vprn101</v>
      </c>
      <c r="AB8" s="74" t="str">
        <f>"vprn"&amp;Q8&amp;"_export"</f>
        <v>vprn101_export</v>
      </c>
      <c r="AC8" s="74"/>
      <c r="AD8" s="74" t="str">
        <f>LEFT(G12,FIND("/",G12)-1)</f>
        <v>192.168.3.1</v>
      </c>
      <c r="AE8" s="74" t="str">
        <f>LEFT(G13,FIND("/",G13)-1)</f>
        <v>192.168.3.3</v>
      </c>
      <c r="AF8" s="74" t="str">
        <f>LEFT(I12,FIND("/",I12)-1)</f>
        <v>2402:3a80:1fff:9::4d</v>
      </c>
      <c r="AG8" s="74" t="str">
        <f>LEFT(I13,FIND("/",I13)-1)</f>
        <v>2402:3a80:1fff:9::4f</v>
      </c>
      <c r="AH8" s="161">
        <v>100</v>
      </c>
      <c r="AI8" s="73" t="str">
        <f>"vprn"&amp;AH8&amp;"_import"</f>
        <v>vprn100_import</v>
      </c>
    </row>
    <row r="9" spans="1:35">
      <c r="B9" s="56" t="str">
        <f>B8</f>
        <v>INVIHR11AMB1SAEU01NK</v>
      </c>
      <c r="C9" s="378"/>
      <c r="D9" s="72" t="s">
        <v>80</v>
      </c>
      <c r="E9" s="11">
        <f>'[2]UP -CORE'!$I$17</f>
        <v>1116</v>
      </c>
      <c r="F9" s="129" t="s">
        <v>773</v>
      </c>
      <c r="G9" s="130" t="s">
        <v>237</v>
      </c>
      <c r="H9" s="130" t="s">
        <v>212</v>
      </c>
      <c r="I9" s="129" t="s">
        <v>631</v>
      </c>
      <c r="J9" s="129" t="s">
        <v>625</v>
      </c>
      <c r="K9" s="129" t="s">
        <v>36</v>
      </c>
      <c r="L9" s="244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UP-CORE-MG3-PORT-2-To-LEAF2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78" t="str">
        <f>LEFT(H9,FIND("/",H9)-1)</f>
        <v>192.168.2.222</v>
      </c>
      <c r="X9" s="76" t="str">
        <f>X8</f>
        <v>::/0</v>
      </c>
      <c r="Y9" s="18" t="str">
        <f t="shared" ref="Y9:Y11" si="1">LEFT(J9,FIND("/",J9)-1)</f>
        <v>2402:3a80:1fff:1a::1</v>
      </c>
      <c r="Z9" s="56"/>
      <c r="AA9" s="78"/>
      <c r="AB9" s="52"/>
      <c r="AC9" s="52"/>
      <c r="AD9" s="56"/>
      <c r="AE9" s="56"/>
      <c r="AF9" s="56"/>
      <c r="AG9" s="56"/>
      <c r="AH9" s="56"/>
      <c r="AI9" s="56"/>
    </row>
    <row r="10" spans="1:35">
      <c r="B10" s="56" t="str">
        <f t="shared" ref="B10:B11" si="2">B9</f>
        <v>INVIHR11AMB1SAEU01NK</v>
      </c>
      <c r="C10" s="378"/>
      <c r="D10" s="72" t="s">
        <v>81</v>
      </c>
      <c r="E10" s="11">
        <f>'[2]UP -CORE'!$I$18</f>
        <v>1126</v>
      </c>
      <c r="F10" s="129" t="s">
        <v>774</v>
      </c>
      <c r="G10" s="130" t="s">
        <v>238</v>
      </c>
      <c r="H10" s="130" t="s">
        <v>214</v>
      </c>
      <c r="I10" s="129" t="s">
        <v>632</v>
      </c>
      <c r="J10" s="129" t="s">
        <v>627</v>
      </c>
      <c r="K10" s="129" t="s">
        <v>36</v>
      </c>
      <c r="L10" s="244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UP-CORE-MG4-PORT-1-To-LEAF1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3">V9</f>
        <v>0.0.0.0/0</v>
      </c>
      <c r="W10" s="78" t="str">
        <f>LEFT(H10,FIND("/",H10)-1)</f>
        <v>192.168.1.254</v>
      </c>
      <c r="X10" s="76" t="str">
        <f t="shared" ref="X10:X11" si="4">X9</f>
        <v>::/0</v>
      </c>
      <c r="Y10" s="18" t="str">
        <f t="shared" si="1"/>
        <v>2402:3a80:1fff:1b::1</v>
      </c>
      <c r="Z10" s="56"/>
      <c r="AA10" s="78"/>
      <c r="AB10" s="52"/>
      <c r="AC10" s="52"/>
      <c r="AD10" s="56"/>
      <c r="AE10" s="56"/>
      <c r="AF10" s="56"/>
      <c r="AG10" s="56"/>
      <c r="AH10" s="56"/>
      <c r="AI10" s="56"/>
    </row>
    <row r="11" spans="1:35">
      <c r="B11" s="56" t="str">
        <f t="shared" si="2"/>
        <v>INVIHR11AMB1SAEU01NK</v>
      </c>
      <c r="C11" s="378"/>
      <c r="D11" s="72" t="s">
        <v>82</v>
      </c>
      <c r="E11" s="11">
        <f>'[2]UP -CORE'!$I$19</f>
        <v>1136</v>
      </c>
      <c r="F11" s="129" t="s">
        <v>775</v>
      </c>
      <c r="G11" s="130" t="s">
        <v>239</v>
      </c>
      <c r="H11" s="130" t="s">
        <v>216</v>
      </c>
      <c r="I11" s="129" t="s">
        <v>633</v>
      </c>
      <c r="J11" s="129" t="s">
        <v>629</v>
      </c>
      <c r="K11" s="129" t="s">
        <v>36</v>
      </c>
      <c r="L11" s="244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UP-CORE-MG4-PORT-2-To-LEAF2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3"/>
        <v>0.0.0.0/0</v>
      </c>
      <c r="W11" s="78" t="str">
        <f>LEFT(H11,FIND("/",H11)-1)</f>
        <v>192.168.2.254</v>
      </c>
      <c r="X11" s="76" t="str">
        <f t="shared" si="4"/>
        <v>::/0</v>
      </c>
      <c r="Y11" s="18" t="str">
        <f t="shared" si="1"/>
        <v>2402:3a80:1fff:1c::1</v>
      </c>
      <c r="Z11" s="56"/>
      <c r="AA11" s="78"/>
      <c r="AB11" s="52"/>
      <c r="AC11" s="52"/>
      <c r="AD11" s="56"/>
      <c r="AE11" s="56"/>
      <c r="AF11" s="56"/>
      <c r="AG11" s="56"/>
      <c r="AH11" s="56"/>
      <c r="AI11" s="56"/>
    </row>
    <row r="12" spans="1:35">
      <c r="B12" s="56" t="str">
        <f t="shared" ref="B12" si="5">B11</f>
        <v>INVIHR11AMB1SAEU01NK</v>
      </c>
      <c r="C12" s="378"/>
      <c r="D12" s="27"/>
      <c r="E12" s="79"/>
      <c r="F12" s="129" t="s">
        <v>776</v>
      </c>
      <c r="G12" s="129" t="s">
        <v>252</v>
      </c>
      <c r="H12" s="79"/>
      <c r="I12" s="159" t="s">
        <v>634</v>
      </c>
      <c r="J12" s="56" t="s">
        <v>36</v>
      </c>
      <c r="K12" s="167"/>
      <c r="L12" s="244" t="s">
        <v>36</v>
      </c>
      <c r="M12" s="242"/>
      <c r="N12" s="72" t="s">
        <v>68</v>
      </c>
      <c r="O12" s="157" t="s">
        <v>83</v>
      </c>
      <c r="P12" s="52" t="str">
        <f>F12</f>
        <v>UP-CORE-MG-GRP-1-lo1</v>
      </c>
      <c r="Q12" s="12" t="s">
        <v>36</v>
      </c>
      <c r="R12" s="78"/>
      <c r="S12" s="78"/>
      <c r="T12" s="78"/>
      <c r="U12" s="56"/>
      <c r="V12" s="56"/>
      <c r="W12" s="56"/>
      <c r="X12" s="56"/>
      <c r="Y12" s="33" t="s">
        <v>36</v>
      </c>
      <c r="Z12" s="56"/>
      <c r="AA12" s="56"/>
      <c r="AB12" s="52"/>
      <c r="AC12" s="156" t="s">
        <v>83</v>
      </c>
      <c r="AD12" s="56"/>
      <c r="AE12" s="56"/>
      <c r="AF12" s="56"/>
      <c r="AG12" s="56"/>
      <c r="AH12" s="56"/>
      <c r="AI12" s="56"/>
    </row>
    <row r="13" spans="1:35">
      <c r="B13" s="56" t="str">
        <f t="shared" ref="B13:B14" si="6">B12</f>
        <v>INVIHR11AMB1SAEU01NK</v>
      </c>
      <c r="C13" s="378"/>
      <c r="D13" s="27"/>
      <c r="E13" s="79"/>
      <c r="F13" s="129" t="s">
        <v>777</v>
      </c>
      <c r="G13" s="129" t="s">
        <v>253</v>
      </c>
      <c r="H13" s="79"/>
      <c r="I13" s="159" t="s">
        <v>635</v>
      </c>
      <c r="J13" s="56" t="s">
        <v>36</v>
      </c>
      <c r="K13" s="167"/>
      <c r="L13" s="244" t="s">
        <v>36</v>
      </c>
      <c r="M13" s="242"/>
      <c r="N13" s="72" t="str">
        <f>N12</f>
        <v>Loopback1</v>
      </c>
      <c r="O13" s="157" t="s">
        <v>83</v>
      </c>
      <c r="P13" s="52" t="str">
        <f t="shared" ref="P13:P15" si="7">F13</f>
        <v>UP-CORE-MG-GRP-1-lo2</v>
      </c>
      <c r="Q13" s="12" t="s">
        <v>36</v>
      </c>
      <c r="R13" s="78"/>
      <c r="S13" s="78"/>
      <c r="T13" s="78"/>
      <c r="U13" s="56"/>
      <c r="V13" s="56"/>
      <c r="W13" s="56"/>
      <c r="X13" s="56"/>
      <c r="Y13" s="33" t="s">
        <v>36</v>
      </c>
      <c r="Z13" s="78"/>
      <c r="AA13" s="56"/>
      <c r="AB13" s="52"/>
      <c r="AC13" s="156" t="s">
        <v>83</v>
      </c>
      <c r="AD13" s="56"/>
      <c r="AE13" s="56"/>
      <c r="AF13" s="56"/>
      <c r="AG13" s="56"/>
      <c r="AH13" s="56"/>
      <c r="AI13" s="56"/>
    </row>
    <row r="14" spans="1:35">
      <c r="B14" s="56" t="str">
        <f t="shared" si="6"/>
        <v>INVIHR11AMB1SAEU01NK</v>
      </c>
      <c r="C14" s="378"/>
      <c r="D14" s="27"/>
      <c r="E14" s="81"/>
      <c r="F14" s="129" t="s">
        <v>315</v>
      </c>
      <c r="G14" s="80" t="str">
        <f>'[2]External Interfaces'!$L$10</f>
        <v>203.88.25.3/32</v>
      </c>
      <c r="H14" s="81"/>
      <c r="I14" s="75" t="str">
        <f>'[2]External Interfaces'!$M$10</f>
        <v>2402:8100:12::10e/128</v>
      </c>
      <c r="J14" s="56" t="s">
        <v>36</v>
      </c>
      <c r="K14" s="156"/>
      <c r="L14" s="133" t="s">
        <v>976</v>
      </c>
      <c r="M14" s="227"/>
      <c r="N14" s="72" t="str">
        <f>N12</f>
        <v>Loopback1</v>
      </c>
      <c r="O14" s="157" t="s">
        <v>83</v>
      </c>
      <c r="P14" s="52" t="str">
        <f t="shared" si="7"/>
        <v>UP-CORE-MG-GRP-1-S1u-SGW_S5-lo</v>
      </c>
      <c r="Q14" s="12" t="s">
        <v>36</v>
      </c>
      <c r="R14" s="78"/>
      <c r="S14" s="78"/>
      <c r="T14" s="78"/>
      <c r="U14" s="52"/>
      <c r="V14" s="52"/>
      <c r="W14" s="56"/>
      <c r="X14" s="56"/>
      <c r="Y14" s="33" t="s">
        <v>36</v>
      </c>
      <c r="Z14" s="78"/>
      <c r="AA14" s="56" t="str">
        <f>AA8</f>
        <v>prefix_vprn101</v>
      </c>
      <c r="AB14" s="56" t="str">
        <f>AB8</f>
        <v>vprn101_export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B15" s="82" t="str">
        <f t="shared" ref="B15" si="8">B13</f>
        <v>INVIHR11AMB1SAEU01NK</v>
      </c>
      <c r="C15" s="379"/>
      <c r="D15" s="29"/>
      <c r="E15" s="81"/>
      <c r="F15" s="171" t="s">
        <v>260</v>
      </c>
      <c r="G15" s="83" t="str">
        <f>'[2]External Interfaces'!$L$19</f>
        <v>203.88.25.7/32</v>
      </c>
      <c r="H15" s="81"/>
      <c r="I15" s="207" t="str">
        <f>'[2]External Interfaces'!$M$19</f>
        <v>2402:8100:12::117/128</v>
      </c>
      <c r="J15" s="56" t="s">
        <v>36</v>
      </c>
      <c r="K15" s="157"/>
      <c r="L15" s="133" t="s">
        <v>977</v>
      </c>
      <c r="M15" s="240"/>
      <c r="N15" s="85" t="str">
        <f>N13</f>
        <v>Loopback1</v>
      </c>
      <c r="O15" s="157" t="s">
        <v>83</v>
      </c>
      <c r="P15" s="52" t="str">
        <f t="shared" si="7"/>
        <v>UP-CORE-MG-GRP-1-PGW_S5-S8-lo</v>
      </c>
      <c r="Q15" s="14" t="s">
        <v>36</v>
      </c>
      <c r="R15" s="86"/>
      <c r="S15" s="86"/>
      <c r="T15" s="86"/>
      <c r="W15" s="84"/>
      <c r="X15" s="84"/>
      <c r="Y15" s="145" t="s">
        <v>36</v>
      </c>
      <c r="Z15" s="86"/>
      <c r="AA15" s="84" t="str">
        <f>AA8</f>
        <v>prefix_vprn101</v>
      </c>
      <c r="AB15" s="87" t="str">
        <f>AB8</f>
        <v>vprn101_export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s="71" customFormat="1" ht="15" thickBot="1">
      <c r="A16" s="66"/>
      <c r="D16" s="30"/>
      <c r="K16" s="17"/>
      <c r="L16" s="229"/>
      <c r="M16" s="241"/>
      <c r="P16" s="91"/>
      <c r="Y16" s="17"/>
    </row>
    <row r="17" spans="1:35">
      <c r="B17" s="122" t="str">
        <f>B8</f>
        <v>INVIHR11AMB1SAEU01NK</v>
      </c>
      <c r="C17" s="377" t="s">
        <v>226</v>
      </c>
      <c r="D17" s="72" t="s">
        <v>79</v>
      </c>
      <c r="E17" s="28">
        <f>'[2]UP -INTERNET'!$I$7</f>
        <v>1107</v>
      </c>
      <c r="F17" s="129" t="s">
        <v>778</v>
      </c>
      <c r="G17" s="163" t="s">
        <v>264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44" t="s">
        <v>36</v>
      </c>
      <c r="M17" s="132" t="s">
        <v>36</v>
      </c>
      <c r="N17" s="88" t="s">
        <v>65</v>
      </c>
      <c r="O17" s="74"/>
      <c r="P17" s="52" t="str">
        <f>""&amp;F17&amp;"-To-LEAF1"</f>
        <v>UP-INTERNET-MG3-PORT-1-To-LEAF1</v>
      </c>
      <c r="Q17" s="162">
        <v>201</v>
      </c>
      <c r="R17" s="161">
        <f>R8</f>
        <v>100</v>
      </c>
      <c r="S17" s="161">
        <f t="shared" ref="S17:T17" si="9">S8</f>
        <v>100</v>
      </c>
      <c r="T17" s="161">
        <f t="shared" si="9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148" t="s">
        <v>36</v>
      </c>
      <c r="Z17" s="77">
        <f t="shared" ref="Z17" si="10">Z8</f>
        <v>65010</v>
      </c>
      <c r="AA17" s="73" t="str">
        <f>"prefix_vprn"&amp;Q17&amp;""</f>
        <v>prefix_vprn201</v>
      </c>
      <c r="AB17" s="74" t="str">
        <f>"vprn"&amp;Q17&amp;"_export"</f>
        <v>vprn201_export</v>
      </c>
      <c r="AC17" s="74"/>
      <c r="AD17" s="74" t="str">
        <f>LEFT(G21,FIND("/",G21)-1)</f>
        <v>192.168.3.39</v>
      </c>
      <c r="AE17" s="74" t="str">
        <f>LEFT(G22,FIND("/",G22)-1)</f>
        <v>192.168.3.41</v>
      </c>
      <c r="AF17" s="74" t="s">
        <v>36</v>
      </c>
      <c r="AG17" s="74" t="s">
        <v>36</v>
      </c>
      <c r="AH17" s="161">
        <v>200</v>
      </c>
      <c r="AI17" s="73" t="str">
        <f>"vprn"&amp;AH17&amp;"_import"</f>
        <v>vprn200_import</v>
      </c>
    </row>
    <row r="18" spans="1:35">
      <c r="B18" s="56" t="str">
        <f>B17</f>
        <v>INVIHR11AMB1SAEU01NK</v>
      </c>
      <c r="C18" s="378"/>
      <c r="D18" s="72" t="s">
        <v>80</v>
      </c>
      <c r="E18" s="28">
        <f>'[2]UP -INTERNET'!$I$8</f>
        <v>1117</v>
      </c>
      <c r="F18" s="129" t="s">
        <v>779</v>
      </c>
      <c r="G18" s="163" t="s">
        <v>265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44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UP-INTERNET-MG3-PORT-2-To-LEAF2</v>
      </c>
      <c r="Q18" s="12" t="s">
        <v>36</v>
      </c>
      <c r="R18" s="52">
        <f t="shared" ref="R18:T20" si="11">R17</f>
        <v>100</v>
      </c>
      <c r="S18" s="52">
        <f t="shared" si="11"/>
        <v>100</v>
      </c>
      <c r="T18" s="52">
        <f t="shared" si="11"/>
        <v>3</v>
      </c>
      <c r="U18" s="52" t="str">
        <f>U17</f>
        <v>Static</v>
      </c>
      <c r="V18" s="52" t="str">
        <f>V17</f>
        <v>0.0.0.0/0</v>
      </c>
      <c r="W18" s="192" t="str">
        <f>LEFT(H18,FIND("/",H18)-1)</f>
        <v>192.168.2.62</v>
      </c>
      <c r="X18" s="76" t="str">
        <f>X17</f>
        <v>::/0</v>
      </c>
      <c r="Y18" s="148" t="s">
        <v>36</v>
      </c>
      <c r="Z18" s="56"/>
      <c r="AA18" s="78"/>
      <c r="AB18" s="52"/>
      <c r="AC18" s="52"/>
      <c r="AD18" s="56"/>
      <c r="AE18" s="56"/>
      <c r="AF18" s="56"/>
      <c r="AG18" s="56"/>
      <c r="AH18" s="56"/>
      <c r="AI18" s="56"/>
    </row>
    <row r="19" spans="1:35">
      <c r="B19" s="56" t="str">
        <f t="shared" ref="B19:B22" si="12">B18</f>
        <v>INVIHR11AMB1SAEU01NK</v>
      </c>
      <c r="C19" s="378"/>
      <c r="D19" s="72" t="s">
        <v>81</v>
      </c>
      <c r="E19" s="28">
        <f>'[2]UP -INTERNET'!$I$9</f>
        <v>1127</v>
      </c>
      <c r="F19" s="129" t="s">
        <v>780</v>
      </c>
      <c r="G19" s="163" t="s">
        <v>266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44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UP-INTERNET-MG4-PORT-1-To-LEAF1</v>
      </c>
      <c r="Q19" s="12" t="s">
        <v>36</v>
      </c>
      <c r="R19" s="52">
        <f t="shared" si="11"/>
        <v>100</v>
      </c>
      <c r="S19" s="52">
        <f t="shared" si="11"/>
        <v>100</v>
      </c>
      <c r="T19" s="52">
        <f t="shared" si="11"/>
        <v>3</v>
      </c>
      <c r="U19" s="52" t="str">
        <f>U18</f>
        <v>Static</v>
      </c>
      <c r="V19" s="52" t="str">
        <f t="shared" ref="V19:V20" si="13">V18</f>
        <v>0.0.0.0/0</v>
      </c>
      <c r="W19" s="192" t="str">
        <f>LEFT(H19,FIND("/",H19)-1)</f>
        <v>192.168.1.158</v>
      </c>
      <c r="X19" s="76" t="str">
        <f t="shared" ref="X19:X20" si="14">X18</f>
        <v>::/0</v>
      </c>
      <c r="Y19" s="148" t="s">
        <v>36</v>
      </c>
      <c r="Z19" s="56"/>
      <c r="AA19" s="78"/>
      <c r="AB19" s="52"/>
      <c r="AC19" s="52"/>
      <c r="AD19" s="56"/>
      <c r="AE19" s="56"/>
      <c r="AF19" s="56"/>
      <c r="AG19" s="56"/>
      <c r="AH19" s="56"/>
      <c r="AI19" s="56"/>
    </row>
    <row r="20" spans="1:35">
      <c r="B20" s="56" t="str">
        <f t="shared" si="12"/>
        <v>INVIHR11AMB1SAEU01NK</v>
      </c>
      <c r="C20" s="378"/>
      <c r="D20" s="72" t="s">
        <v>82</v>
      </c>
      <c r="E20" s="28">
        <f>'[2]UP -INTERNET'!$I$10</f>
        <v>1137</v>
      </c>
      <c r="F20" s="129" t="s">
        <v>781</v>
      </c>
      <c r="G20" s="163" t="s">
        <v>267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44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UP-INTERNET-MG4-PORT-2-To-LEAF2</v>
      </c>
      <c r="Q20" s="12" t="s">
        <v>36</v>
      </c>
      <c r="R20" s="52">
        <f t="shared" si="11"/>
        <v>100</v>
      </c>
      <c r="S20" s="52">
        <f t="shared" si="11"/>
        <v>100</v>
      </c>
      <c r="T20" s="52">
        <f t="shared" si="11"/>
        <v>3</v>
      </c>
      <c r="U20" s="52" t="str">
        <f>U19</f>
        <v>Static</v>
      </c>
      <c r="V20" s="52" t="str">
        <f t="shared" si="13"/>
        <v>0.0.0.0/0</v>
      </c>
      <c r="W20" s="192" t="str">
        <f>LEFT(H20,FIND("/",H20)-1)</f>
        <v>192.168.2.158</v>
      </c>
      <c r="X20" s="76" t="str">
        <f t="shared" si="14"/>
        <v>::/0</v>
      </c>
      <c r="Y20" s="145" t="s">
        <v>36</v>
      </c>
      <c r="Z20" s="56"/>
      <c r="AA20" s="78"/>
      <c r="AB20" s="52"/>
      <c r="AC20" s="52"/>
      <c r="AD20" s="56"/>
      <c r="AE20" s="56"/>
      <c r="AF20" s="56"/>
      <c r="AG20" s="56"/>
      <c r="AH20" s="56"/>
      <c r="AI20" s="56"/>
    </row>
    <row r="21" spans="1:35">
      <c r="B21" s="56" t="str">
        <f t="shared" si="12"/>
        <v>INVIHR11AMB1SAEU01NK</v>
      </c>
      <c r="C21" s="378"/>
      <c r="D21" s="27"/>
      <c r="E21" s="79"/>
      <c r="F21" s="129" t="s">
        <v>782</v>
      </c>
      <c r="G21" s="131" t="s">
        <v>280</v>
      </c>
      <c r="H21" s="79"/>
      <c r="I21" s="76" t="s">
        <v>36</v>
      </c>
      <c r="J21" s="206" t="s">
        <v>36</v>
      </c>
      <c r="K21" s="157"/>
      <c r="L21" s="244" t="s">
        <v>36</v>
      </c>
      <c r="M21" s="228"/>
      <c r="N21" s="72" t="s">
        <v>69</v>
      </c>
      <c r="O21" s="157" t="s">
        <v>83</v>
      </c>
      <c r="P21" s="52" t="str">
        <f>F21</f>
        <v>UP-INTERNET-MG-GRP-1-lo1</v>
      </c>
      <c r="Q21" s="12" t="s">
        <v>36</v>
      </c>
      <c r="R21" s="78"/>
      <c r="S21" s="78"/>
      <c r="T21" s="78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s="90" customFormat="1" ht="15" thickBot="1">
      <c r="B22" s="56" t="str">
        <f t="shared" si="12"/>
        <v>INVIHR11AMB1SAEU01NK</v>
      </c>
      <c r="C22" s="378"/>
      <c r="D22" s="27"/>
      <c r="E22" s="79"/>
      <c r="F22" s="129" t="s">
        <v>783</v>
      </c>
      <c r="G22" s="131" t="s">
        <v>281</v>
      </c>
      <c r="H22" s="79"/>
      <c r="I22" s="76" t="s">
        <v>36</v>
      </c>
      <c r="J22" s="206" t="s">
        <v>36</v>
      </c>
      <c r="K22" s="157"/>
      <c r="L22" s="244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UP-INTERNET-MG-GRP-1-lo2</v>
      </c>
      <c r="Q22" s="12" t="s">
        <v>36</v>
      </c>
      <c r="R22" s="78"/>
      <c r="S22" s="78"/>
      <c r="T22" s="78"/>
      <c r="U22" s="56"/>
      <c r="V22" s="56"/>
      <c r="W22" s="56"/>
      <c r="X22" s="56"/>
      <c r="Y22" s="9"/>
      <c r="Z22" s="78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s="71" customFormat="1" ht="15" thickBot="1">
      <c r="A23" s="66"/>
      <c r="D23" s="30"/>
      <c r="K23" s="17"/>
      <c r="P23" s="91"/>
      <c r="U23" s="91"/>
      <c r="V23" s="91"/>
      <c r="Y23" s="17"/>
    </row>
    <row r="24" spans="1:35">
      <c r="B24" s="122" t="str">
        <f>B8</f>
        <v>INVIHR11AMB1SAEU01NK</v>
      </c>
      <c r="C24" s="377" t="s">
        <v>227</v>
      </c>
      <c r="D24" s="72" t="s">
        <v>79</v>
      </c>
      <c r="E24" s="28">
        <f>'[2]UP -IMS'!$I$7</f>
        <v>1108</v>
      </c>
      <c r="F24" s="129" t="s">
        <v>892</v>
      </c>
      <c r="G24" s="163" t="s">
        <v>288</v>
      </c>
      <c r="H24" s="163" t="s">
        <v>229</v>
      </c>
      <c r="I24" s="163" t="s">
        <v>682</v>
      </c>
      <c r="J24" s="163" t="s">
        <v>637</v>
      </c>
      <c r="K24" s="129" t="s">
        <v>36</v>
      </c>
      <c r="L24" s="244" t="s">
        <v>36</v>
      </c>
      <c r="M24" s="132" t="s">
        <v>36</v>
      </c>
      <c r="N24" s="88" t="s">
        <v>66</v>
      </c>
      <c r="O24" s="74"/>
      <c r="P24" s="52" t="str">
        <f>""&amp;F24&amp;"-To-LEAF1"</f>
        <v>UP-IMS-MG3-PORT-1-To-LEAF1</v>
      </c>
      <c r="Q24" s="162">
        <v>301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76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prefix_vprn301</v>
      </c>
      <c r="AB24" s="74" t="str">
        <f>"vprn"&amp;Q24&amp;"_export"</f>
        <v>vprn301_export</v>
      </c>
      <c r="AC24" s="74"/>
      <c r="AD24" s="74" t="str">
        <f>LEFT(G28,FIND("/",G28)-1)</f>
        <v>192.168.3.75</v>
      </c>
      <c r="AE24" s="74" t="str">
        <f>LEFT(G29,FIND("/",G29)-1)</f>
        <v>192.168.3.77</v>
      </c>
      <c r="AF24" s="74" t="str">
        <f>LEFT(I28,FIND("/",I28)-1)</f>
        <v>2402:3a80:1fff:9::27</v>
      </c>
      <c r="AG24" s="74" t="str">
        <f>LEFT(I29,FIND("/",I29)-1)</f>
        <v>2402:3a80:1fff:9::29</v>
      </c>
      <c r="AH24" s="161">
        <v>300</v>
      </c>
      <c r="AI24" s="73" t="str">
        <f>"vprn"&amp;AH24&amp;"_import"</f>
        <v>vprn300_import</v>
      </c>
    </row>
    <row r="25" spans="1:35">
      <c r="B25" s="56" t="str">
        <f>B24</f>
        <v>INVIHR11AMB1SAEU01NK</v>
      </c>
      <c r="C25" s="378"/>
      <c r="D25" s="72" t="s">
        <v>80</v>
      </c>
      <c r="E25" s="28">
        <f>'[2]UP -IMS'!$I$8</f>
        <v>1118</v>
      </c>
      <c r="F25" s="129" t="s">
        <v>893</v>
      </c>
      <c r="G25" s="163" t="s">
        <v>289</v>
      </c>
      <c r="H25" s="163" t="s">
        <v>231</v>
      </c>
      <c r="I25" s="163" t="s">
        <v>683</v>
      </c>
      <c r="J25" s="163" t="s">
        <v>639</v>
      </c>
      <c r="K25" s="129" t="s">
        <v>36</v>
      </c>
      <c r="L25" s="244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UP-IMS-MG3-PORT-2-To-LEAF2</v>
      </c>
      <c r="Q25" s="12" t="s">
        <v>36</v>
      </c>
      <c r="R25" s="52">
        <f t="shared" ref="R25:T27" si="15">R24</f>
        <v>100</v>
      </c>
      <c r="S25" s="52">
        <f t="shared" si="15"/>
        <v>100</v>
      </c>
      <c r="T25" s="52">
        <f t="shared" si="15"/>
        <v>3</v>
      </c>
      <c r="U25" s="52" t="str">
        <f>U24</f>
        <v>Static</v>
      </c>
      <c r="V25" s="52" t="str">
        <f>V24</f>
        <v>0.0.0.0/0</v>
      </c>
      <c r="W25" s="192" t="str">
        <f>LEFT(H25,FIND("/",H25)-1)</f>
        <v>192.168.2.94</v>
      </c>
      <c r="X25" s="76" t="str">
        <f>X24</f>
        <v>::/0</v>
      </c>
      <c r="Y25" s="10" t="str">
        <f>LEFT(J25,FIND("/",J25)-1)</f>
        <v>2402:3a80:1fff:b::1</v>
      </c>
      <c r="Z25" s="56"/>
      <c r="AA25" s="78"/>
      <c r="AB25" s="52"/>
      <c r="AC25" s="52"/>
      <c r="AD25" s="56"/>
      <c r="AE25" s="56"/>
      <c r="AF25" s="56"/>
      <c r="AG25" s="56"/>
      <c r="AH25" s="56"/>
      <c r="AI25" s="56"/>
    </row>
    <row r="26" spans="1:35">
      <c r="B26" s="56" t="str">
        <f t="shared" ref="B26:B29" si="16">B25</f>
        <v>INVIHR11AMB1SAEU01NK</v>
      </c>
      <c r="C26" s="378"/>
      <c r="D26" s="72" t="s">
        <v>81</v>
      </c>
      <c r="E26" s="28">
        <f>'[2]UP -IMS'!$I$9</f>
        <v>1128</v>
      </c>
      <c r="F26" s="129" t="s">
        <v>894</v>
      </c>
      <c r="G26" s="163" t="s">
        <v>290</v>
      </c>
      <c r="H26" s="163" t="s">
        <v>233</v>
      </c>
      <c r="I26" s="163" t="s">
        <v>684</v>
      </c>
      <c r="J26" s="163" t="s">
        <v>641</v>
      </c>
      <c r="K26" s="129" t="s">
        <v>36</v>
      </c>
      <c r="L26" s="244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""&amp;F26&amp;"-To-LEAF1"</f>
        <v>UP-IMS-MG4-PORT-1-To-LEAF1</v>
      </c>
      <c r="Q26" s="12" t="s">
        <v>36</v>
      </c>
      <c r="R26" s="52">
        <f t="shared" si="15"/>
        <v>100</v>
      </c>
      <c r="S26" s="52">
        <f t="shared" si="15"/>
        <v>100</v>
      </c>
      <c r="T26" s="52">
        <f t="shared" si="15"/>
        <v>3</v>
      </c>
      <c r="U26" s="52" t="str">
        <f>U25</f>
        <v>Static</v>
      </c>
      <c r="V26" s="52" t="str">
        <f t="shared" ref="V26:V27" si="17">V25</f>
        <v>0.0.0.0/0</v>
      </c>
      <c r="W26" s="192" t="str">
        <f>LEFT(H26,FIND("/",H26)-1)</f>
        <v>192.168.1.190</v>
      </c>
      <c r="X26" s="76" t="str">
        <f t="shared" ref="X26:X27" si="18">X25</f>
        <v>::/0</v>
      </c>
      <c r="Y26" s="10" t="str">
        <f>LEFT(J26,FIND("/",J26)-1)</f>
        <v>2402:3a80:1fff:c::1</v>
      </c>
      <c r="Z26" s="56"/>
      <c r="AA26" s="78"/>
      <c r="AB26" s="52"/>
      <c r="AC26" s="52"/>
      <c r="AD26" s="56"/>
      <c r="AE26" s="56"/>
      <c r="AF26" s="56"/>
      <c r="AG26" s="56"/>
      <c r="AH26" s="56"/>
      <c r="AI26" s="56"/>
    </row>
    <row r="27" spans="1:35">
      <c r="B27" s="56" t="str">
        <f t="shared" si="16"/>
        <v>INVIHR11AMB1SAEU01NK</v>
      </c>
      <c r="C27" s="378"/>
      <c r="D27" s="72" t="s">
        <v>82</v>
      </c>
      <c r="E27" s="28">
        <f>'[2]UP -IMS'!$I$10</f>
        <v>1138</v>
      </c>
      <c r="F27" s="129" t="s">
        <v>895</v>
      </c>
      <c r="G27" s="163" t="s">
        <v>291</v>
      </c>
      <c r="H27" s="163" t="s">
        <v>235</v>
      </c>
      <c r="I27" s="163" t="s">
        <v>685</v>
      </c>
      <c r="J27" s="163" t="s">
        <v>643</v>
      </c>
      <c r="K27" s="129" t="s">
        <v>36</v>
      </c>
      <c r="L27" s="244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UP-IMS-MG4-PORT-2-To-LEAF2</v>
      </c>
      <c r="Q27" s="12" t="s">
        <v>36</v>
      </c>
      <c r="R27" s="52">
        <f t="shared" si="15"/>
        <v>100</v>
      </c>
      <c r="S27" s="52">
        <f t="shared" si="15"/>
        <v>100</v>
      </c>
      <c r="T27" s="87">
        <f t="shared" si="15"/>
        <v>3</v>
      </c>
      <c r="U27" s="87" t="str">
        <f>U26</f>
        <v>Static</v>
      </c>
      <c r="V27" s="52" t="str">
        <f t="shared" si="17"/>
        <v>0.0.0.0/0</v>
      </c>
      <c r="W27" s="192" t="str">
        <f>LEFT(H27,FIND("/",H27)-1)</f>
        <v>192.168.2.190</v>
      </c>
      <c r="X27" s="76" t="str">
        <f t="shared" si="18"/>
        <v>::/0</v>
      </c>
      <c r="Y27" s="10" t="str">
        <f>LEFT(J27,FIND("/",J27)-1)</f>
        <v>2402:3a80:1fff:d::1</v>
      </c>
      <c r="Z27" s="84"/>
      <c r="AA27" s="78"/>
      <c r="AB27" s="52"/>
      <c r="AC27" s="52"/>
      <c r="AD27" s="56"/>
      <c r="AE27" s="56"/>
      <c r="AF27" s="56"/>
      <c r="AG27" s="56"/>
      <c r="AH27" s="56"/>
      <c r="AI27" s="56"/>
    </row>
    <row r="28" spans="1:35">
      <c r="B28" s="56" t="str">
        <f t="shared" si="16"/>
        <v>INVIHR11AMB1SAEU01NK</v>
      </c>
      <c r="C28" s="378"/>
      <c r="D28" s="27"/>
      <c r="E28" s="56"/>
      <c r="F28" s="129" t="s">
        <v>896</v>
      </c>
      <c r="G28" s="131" t="s">
        <v>304</v>
      </c>
      <c r="H28" s="79"/>
      <c r="I28" s="131" t="s">
        <v>650</v>
      </c>
      <c r="J28" s="206" t="s">
        <v>36</v>
      </c>
      <c r="K28" s="157"/>
      <c r="L28" s="244" t="s">
        <v>36</v>
      </c>
      <c r="M28" s="228"/>
      <c r="N28" s="72" t="s">
        <v>70</v>
      </c>
      <c r="O28" s="157" t="s">
        <v>83</v>
      </c>
      <c r="P28" s="52" t="str">
        <f>F28</f>
        <v>UP-IMS-MG-GRP-1-lo1</v>
      </c>
      <c r="Q28" s="12" t="s">
        <v>36</v>
      </c>
      <c r="R28" s="78"/>
      <c r="S28" s="78"/>
      <c r="T28" s="78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B29" s="56" t="str">
        <f t="shared" si="16"/>
        <v>INVIHR11AMB1SAEU01NK</v>
      </c>
      <c r="C29" s="378"/>
      <c r="D29" s="56"/>
      <c r="E29" s="56"/>
      <c r="F29" s="129" t="s">
        <v>897</v>
      </c>
      <c r="G29" s="131" t="s">
        <v>305</v>
      </c>
      <c r="H29" s="79"/>
      <c r="I29" s="131" t="s">
        <v>651</v>
      </c>
      <c r="J29" s="206" t="s">
        <v>36</v>
      </c>
      <c r="K29" s="157"/>
      <c r="L29" s="244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UP-IMS-MG-GRP-1-lo2</v>
      </c>
      <c r="Q29" s="12" t="s">
        <v>36</v>
      </c>
      <c r="R29" s="78"/>
      <c r="S29" s="78"/>
      <c r="T29" s="78"/>
      <c r="U29" s="56"/>
      <c r="V29" s="56"/>
      <c r="W29" s="56"/>
      <c r="X29" s="56"/>
      <c r="Y29" s="9"/>
      <c r="Z29" s="78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s="71" customFormat="1" ht="15" thickBot="1">
      <c r="A30" s="66"/>
      <c r="B30" s="180"/>
      <c r="C30" s="180"/>
      <c r="D30" s="180"/>
      <c r="E30" s="180"/>
      <c r="F30" s="180"/>
      <c r="G30" s="180"/>
      <c r="H30" s="180"/>
      <c r="I30" s="180"/>
      <c r="J30" s="180"/>
      <c r="K30" s="17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1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</row>
    <row r="31" spans="1:35">
      <c r="B31" s="123" t="str">
        <f>B8</f>
        <v>INVIHR11AMB1SAEU01NK</v>
      </c>
      <c r="C31" s="376" t="s">
        <v>715</v>
      </c>
      <c r="D31" s="72" t="s">
        <v>79</v>
      </c>
      <c r="E31" s="11">
        <f>LBVPRNs!E66</f>
        <v>1500</v>
      </c>
      <c r="F31" s="159" t="s">
        <v>709</v>
      </c>
      <c r="G31" s="56" t="s">
        <v>36</v>
      </c>
      <c r="H31" s="56" t="str">
        <f t="shared" ref="H31:H34" si="19">G31</f>
        <v>NA</v>
      </c>
      <c r="I31" s="156" t="s">
        <v>699</v>
      </c>
      <c r="J31" s="156" t="s">
        <v>691</v>
      </c>
      <c r="K31" s="129" t="s">
        <v>36</v>
      </c>
      <c r="L31" s="244" t="s">
        <v>36</v>
      </c>
      <c r="M31" s="132" t="s">
        <v>36</v>
      </c>
      <c r="N31" s="72" t="s">
        <v>67</v>
      </c>
      <c r="O31" s="56"/>
      <c r="P31" s="52" t="str">
        <f>""&amp;F31&amp;"-To-LEAF1"</f>
        <v>Non-NAT-IPv6-MG3-PORT-1-To-LEAF1</v>
      </c>
      <c r="Q31" s="182">
        <v>1301</v>
      </c>
      <c r="R31" s="156">
        <f>R8</f>
        <v>100</v>
      </c>
      <c r="S31" s="156">
        <f>S8</f>
        <v>100</v>
      </c>
      <c r="T31" s="156">
        <f>T8</f>
        <v>3</v>
      </c>
      <c r="U31" s="156" t="s">
        <v>370</v>
      </c>
      <c r="V31" s="191" t="s">
        <v>36</v>
      </c>
      <c r="W31" s="177" t="s">
        <v>36</v>
      </c>
      <c r="X31" s="76" t="s">
        <v>765</v>
      </c>
      <c r="Y31" s="10" t="str">
        <f>LEFT(J31,FIND("/",J31)-1)</f>
        <v>2402:3a80:1fff:5::1</v>
      </c>
      <c r="Z31" s="75">
        <f>Z24</f>
        <v>65010</v>
      </c>
      <c r="AA31" s="56" t="str">
        <f>"prefix_vprn"&amp;Q31&amp;""</f>
        <v>prefix_vprn1301</v>
      </c>
      <c r="AB31" s="52" t="str">
        <f>"vprn"&amp;Q31&amp;"_export"</f>
        <v>vprn1301_export</v>
      </c>
      <c r="AC31" s="52"/>
      <c r="AD31" s="52" t="s">
        <v>36</v>
      </c>
      <c r="AE31" s="52" t="s">
        <v>36</v>
      </c>
      <c r="AF31" s="52" t="str">
        <f>LEFT(I39,FIND("/",I39)-1)</f>
        <v>2402:3a80:1fff:9::1</v>
      </c>
      <c r="AG31" s="52" t="str">
        <f>LEFT(I40,FIND("/",I40)-1)</f>
        <v>2402:3a80:1fff:9::3</v>
      </c>
      <c r="AH31" s="156">
        <v>1300</v>
      </c>
      <c r="AI31" s="56" t="str">
        <f>"vprn"&amp;AH31&amp;"_import"</f>
        <v>vprn1300_import</v>
      </c>
    </row>
    <row r="32" spans="1:35">
      <c r="B32" s="56" t="str">
        <f>B31</f>
        <v>INVIHR11AMB1SAEU01NK</v>
      </c>
      <c r="C32" s="376"/>
      <c r="D32" s="72" t="s">
        <v>80</v>
      </c>
      <c r="E32" s="11">
        <f>LBVPRNs!E67</f>
        <v>1510</v>
      </c>
      <c r="F32" s="159" t="s">
        <v>710</v>
      </c>
      <c r="G32" s="56" t="s">
        <v>36</v>
      </c>
      <c r="H32" s="56" t="str">
        <f t="shared" si="19"/>
        <v>NA</v>
      </c>
      <c r="I32" s="156" t="s">
        <v>700</v>
      </c>
      <c r="J32" s="156" t="s">
        <v>693</v>
      </c>
      <c r="K32" s="129" t="s">
        <v>36</v>
      </c>
      <c r="L32" s="244" t="s">
        <v>36</v>
      </c>
      <c r="M32" s="132" t="s">
        <v>36</v>
      </c>
      <c r="N32" s="72" t="str">
        <f>N31</f>
        <v>Physical4</v>
      </c>
      <c r="O32" s="56"/>
      <c r="P32" s="52" t="str">
        <f>""&amp;F32&amp;"-To-LEAF2"</f>
        <v>Non-NAT-IPv6-MG3-PORT-2-To-LEAF2</v>
      </c>
      <c r="Q32" s="12" t="s">
        <v>36</v>
      </c>
      <c r="R32" s="52">
        <f t="shared" ref="R32:T32" si="20">R31</f>
        <v>100</v>
      </c>
      <c r="S32" s="52">
        <f t="shared" si="20"/>
        <v>100</v>
      </c>
      <c r="T32" s="52">
        <f t="shared" si="20"/>
        <v>3</v>
      </c>
      <c r="U32" s="52" t="str">
        <f>U31</f>
        <v>Static</v>
      </c>
      <c r="V32" s="191" t="s">
        <v>36</v>
      </c>
      <c r="W32" s="177" t="s">
        <v>36</v>
      </c>
      <c r="X32" s="76" t="str">
        <f>X31</f>
        <v>::/0</v>
      </c>
      <c r="Y32" s="10" t="str">
        <f>LEFT(J32,FIND("/",J32)-1)</f>
        <v>2402:3a80:1fff:6::1</v>
      </c>
      <c r="Z32" s="56"/>
      <c r="AA32" s="178"/>
      <c r="AB32" s="52"/>
      <c r="AC32" s="52"/>
      <c r="AD32" s="56"/>
      <c r="AE32" s="56"/>
      <c r="AF32" s="56"/>
      <c r="AG32" s="56"/>
      <c r="AH32" s="56"/>
      <c r="AI32" s="56"/>
    </row>
    <row r="33" spans="2:35">
      <c r="B33" s="56" t="str">
        <f t="shared" ref="B33:B41" si="21">B32</f>
        <v>INVIHR11AMB1SAEU01NK</v>
      </c>
      <c r="C33" s="376"/>
      <c r="D33" s="72" t="s">
        <v>81</v>
      </c>
      <c r="E33" s="11">
        <f>LBVPRNs!E68</f>
        <v>1520</v>
      </c>
      <c r="F33" s="159" t="s">
        <v>711</v>
      </c>
      <c r="G33" s="56" t="s">
        <v>36</v>
      </c>
      <c r="H33" s="56" t="str">
        <f t="shared" si="19"/>
        <v>NA</v>
      </c>
      <c r="I33" s="156" t="s">
        <v>701</v>
      </c>
      <c r="J33" s="156" t="s">
        <v>695</v>
      </c>
      <c r="K33" s="129" t="s">
        <v>36</v>
      </c>
      <c r="L33" s="244" t="s">
        <v>36</v>
      </c>
      <c r="M33" s="132" t="s">
        <v>36</v>
      </c>
      <c r="N33" s="72" t="str">
        <f>N31</f>
        <v>Physical4</v>
      </c>
      <c r="O33" s="56"/>
      <c r="P33" s="52" t="str">
        <f>""&amp;F33&amp;"-To-LEAF1"</f>
        <v>Non-NAT-IPv6-MG4-PORT-1-To-LEAF1</v>
      </c>
      <c r="Q33" s="12" t="s">
        <v>36</v>
      </c>
      <c r="R33" s="52">
        <f t="shared" ref="R33:T33" si="22">R32</f>
        <v>100</v>
      </c>
      <c r="S33" s="52">
        <f t="shared" si="22"/>
        <v>100</v>
      </c>
      <c r="T33" s="52">
        <f t="shared" si="22"/>
        <v>3</v>
      </c>
      <c r="U33" s="52" t="str">
        <f>U32</f>
        <v>Static</v>
      </c>
      <c r="V33" s="191" t="s">
        <v>36</v>
      </c>
      <c r="W33" s="177" t="s">
        <v>36</v>
      </c>
      <c r="X33" s="76" t="str">
        <f t="shared" ref="X33:X34" si="23">X32</f>
        <v>::/0</v>
      </c>
      <c r="Y33" s="10" t="str">
        <f>LEFT(J33,FIND("/",J33)-1)</f>
        <v>2402:3a80:1fff:7::1</v>
      </c>
      <c r="Z33" s="56"/>
      <c r="AA33" s="178"/>
      <c r="AB33" s="52"/>
      <c r="AC33" s="52"/>
      <c r="AD33" s="56"/>
      <c r="AE33" s="56"/>
      <c r="AF33" s="56"/>
      <c r="AG33" s="56"/>
      <c r="AH33" s="56"/>
      <c r="AI33" s="56"/>
    </row>
    <row r="34" spans="2:35">
      <c r="B34" s="56" t="str">
        <f t="shared" si="21"/>
        <v>INVIHR11AMB1SAEU01NK</v>
      </c>
      <c r="C34" s="376"/>
      <c r="D34" s="72" t="s">
        <v>82</v>
      </c>
      <c r="E34" s="11">
        <f>LBVPRNs!E69</f>
        <v>1530</v>
      </c>
      <c r="F34" s="159" t="s">
        <v>712</v>
      </c>
      <c r="G34" s="56" t="s">
        <v>36</v>
      </c>
      <c r="H34" s="56" t="str">
        <f t="shared" si="19"/>
        <v>NA</v>
      </c>
      <c r="I34" s="156" t="s">
        <v>702</v>
      </c>
      <c r="J34" s="156" t="s">
        <v>697</v>
      </c>
      <c r="K34" s="129" t="s">
        <v>36</v>
      </c>
      <c r="L34" s="244" t="s">
        <v>36</v>
      </c>
      <c r="M34" s="132" t="s">
        <v>36</v>
      </c>
      <c r="N34" s="72" t="str">
        <f>N31</f>
        <v>Physical4</v>
      </c>
      <c r="O34" s="56"/>
      <c r="P34" s="52" t="str">
        <f>""&amp;F34&amp;"-To-LEAF2"</f>
        <v>Non-NAT-IPv6-MG4-PORT-2-To-LEAF2</v>
      </c>
      <c r="Q34" s="12" t="s">
        <v>36</v>
      </c>
      <c r="R34" s="52">
        <f t="shared" ref="R34:T34" si="24">R33</f>
        <v>100</v>
      </c>
      <c r="S34" s="52">
        <f t="shared" si="24"/>
        <v>100</v>
      </c>
      <c r="T34" s="52">
        <f t="shared" si="24"/>
        <v>3</v>
      </c>
      <c r="U34" s="52" t="str">
        <f>U33</f>
        <v>Static</v>
      </c>
      <c r="V34" s="191" t="s">
        <v>36</v>
      </c>
      <c r="W34" s="177" t="s">
        <v>36</v>
      </c>
      <c r="X34" s="76" t="str">
        <f t="shared" si="23"/>
        <v>::/0</v>
      </c>
      <c r="Y34" s="10" t="str">
        <f>LEFT(J34,FIND("/",J34)-1)</f>
        <v>2402:3a80:1fff:8::1</v>
      </c>
      <c r="Z34" s="56"/>
      <c r="AA34" s="178"/>
      <c r="AB34" s="52"/>
      <c r="AC34" s="52"/>
      <c r="AD34" s="56"/>
      <c r="AE34" s="56"/>
      <c r="AF34" s="56"/>
      <c r="AG34" s="56"/>
      <c r="AH34" s="56"/>
      <c r="AI34" s="56"/>
    </row>
    <row r="35" spans="2:35">
      <c r="B35" s="56" t="str">
        <f t="shared" si="21"/>
        <v>INVIHR11AMB1SAEU01NK</v>
      </c>
      <c r="C35" s="376"/>
      <c r="D35" s="88" t="s">
        <v>79</v>
      </c>
      <c r="E35" s="11">
        <f>'[2]NAT-13XX_redirect-VPRN'!$I$44</f>
        <v>1300</v>
      </c>
      <c r="F35" s="159" t="s">
        <v>716</v>
      </c>
      <c r="G35" s="56" t="s">
        <v>36</v>
      </c>
      <c r="H35" s="56" t="str">
        <f t="shared" ref="H35:H37" si="25">G35</f>
        <v>NA</v>
      </c>
      <c r="I35" s="159" t="s">
        <v>720</v>
      </c>
      <c r="J35" s="159" t="s">
        <v>721</v>
      </c>
      <c r="K35" s="129" t="s">
        <v>36</v>
      </c>
      <c r="L35" s="244" t="s">
        <v>36</v>
      </c>
      <c r="M35" s="132" t="s">
        <v>36</v>
      </c>
      <c r="N35" s="72" t="str">
        <f t="shared" ref="N35:N38" si="26">N32</f>
        <v>Physical4</v>
      </c>
      <c r="O35" s="56"/>
      <c r="P35" s="52" t="str">
        <f>""&amp;F35&amp;"-To-LEAF1"</f>
        <v>TO-NAT-Redirect-MG3-PORT-1-To-LEAF1</v>
      </c>
      <c r="Q35" s="12" t="s">
        <v>36</v>
      </c>
      <c r="R35" s="52">
        <f t="shared" ref="R35:U35" si="27">R34</f>
        <v>100</v>
      </c>
      <c r="S35" s="52">
        <f t="shared" si="27"/>
        <v>100</v>
      </c>
      <c r="T35" s="52">
        <f t="shared" si="27"/>
        <v>3</v>
      </c>
      <c r="U35" s="52" t="str">
        <f t="shared" si="27"/>
        <v>Static</v>
      </c>
      <c r="V35" s="191" t="s">
        <v>36</v>
      </c>
      <c r="W35" s="183" t="s">
        <v>36</v>
      </c>
      <c r="X35" s="208" t="str">
        <f>NAT!Q8</f>
        <v>2402:3a80:1fff:3f::/96</v>
      </c>
      <c r="Y35" s="10" t="str">
        <f t="shared" ref="Y35:Y38" si="28">LEFT(J35,FIND("/",J35)-1)</f>
        <v>2402:3a80:1fff:10::5</v>
      </c>
      <c r="Z35" s="56"/>
      <c r="AA35" s="184"/>
      <c r="AB35" s="52"/>
      <c r="AC35" s="52"/>
      <c r="AD35" s="56"/>
      <c r="AE35" s="56"/>
      <c r="AF35" s="56"/>
      <c r="AG35" s="56"/>
      <c r="AH35" s="56"/>
      <c r="AI35" s="56"/>
    </row>
    <row r="36" spans="2:35">
      <c r="B36" s="56" t="str">
        <f t="shared" si="21"/>
        <v>INVIHR11AMB1SAEU01NK</v>
      </c>
      <c r="C36" s="376"/>
      <c r="D36" s="72" t="s">
        <v>80</v>
      </c>
      <c r="E36" s="11">
        <f>'[2]NAT-13XX_redirect-VPRN'!$I$45</f>
        <v>1310</v>
      </c>
      <c r="F36" s="159" t="s">
        <v>717</v>
      </c>
      <c r="G36" s="56" t="s">
        <v>36</v>
      </c>
      <c r="H36" s="56" t="str">
        <f t="shared" si="25"/>
        <v>NA</v>
      </c>
      <c r="I36" s="159" t="s">
        <v>722</v>
      </c>
      <c r="J36" s="159" t="s">
        <v>723</v>
      </c>
      <c r="K36" s="129" t="s">
        <v>36</v>
      </c>
      <c r="L36" s="244" t="s">
        <v>36</v>
      </c>
      <c r="M36" s="132" t="s">
        <v>36</v>
      </c>
      <c r="N36" s="72" t="str">
        <f t="shared" si="26"/>
        <v>Physical4</v>
      </c>
      <c r="O36" s="56"/>
      <c r="P36" s="52" t="str">
        <f>""&amp;F36&amp;"-To-LEAF2"</f>
        <v>TO-NAT-Redirect-MG3-PORT-2-To-LEAF2</v>
      </c>
      <c r="Q36" s="12" t="s">
        <v>36</v>
      </c>
      <c r="R36" s="52">
        <f t="shared" ref="R36:U36" si="29">R35</f>
        <v>100</v>
      </c>
      <c r="S36" s="52">
        <f t="shared" si="29"/>
        <v>100</v>
      </c>
      <c r="T36" s="52">
        <f t="shared" si="29"/>
        <v>3</v>
      </c>
      <c r="U36" s="52" t="str">
        <f t="shared" si="29"/>
        <v>Static</v>
      </c>
      <c r="V36" s="191" t="s">
        <v>36</v>
      </c>
      <c r="W36" s="183" t="s">
        <v>36</v>
      </c>
      <c r="X36" s="208" t="str">
        <f>X35</f>
        <v>2402:3a80:1fff:3f::/96</v>
      </c>
      <c r="Y36" s="10" t="str">
        <f t="shared" si="28"/>
        <v>2402:3a80:1fff:11::5</v>
      </c>
      <c r="Z36" s="56"/>
      <c r="AA36" s="184"/>
      <c r="AB36" s="52"/>
      <c r="AC36" s="52"/>
      <c r="AD36" s="56"/>
      <c r="AE36" s="56"/>
      <c r="AF36" s="56"/>
      <c r="AG36" s="56"/>
      <c r="AH36" s="56"/>
      <c r="AI36" s="56"/>
    </row>
    <row r="37" spans="2:35" s="90" customFormat="1">
      <c r="B37" s="56" t="str">
        <f t="shared" si="21"/>
        <v>INVIHR11AMB1SAEU01NK</v>
      </c>
      <c r="C37" s="376"/>
      <c r="D37" s="72" t="s">
        <v>81</v>
      </c>
      <c r="E37" s="11">
        <f>'[2]NAT-13XX_redirect-VPRN'!$I$46</f>
        <v>1320</v>
      </c>
      <c r="F37" s="159" t="s">
        <v>718</v>
      </c>
      <c r="G37" s="56" t="s">
        <v>36</v>
      </c>
      <c r="H37" s="56" t="str">
        <f t="shared" si="25"/>
        <v>NA</v>
      </c>
      <c r="I37" s="159" t="s">
        <v>724</v>
      </c>
      <c r="J37" s="159" t="s">
        <v>725</v>
      </c>
      <c r="K37" s="129" t="s">
        <v>36</v>
      </c>
      <c r="L37" s="244" t="s">
        <v>36</v>
      </c>
      <c r="M37" s="132" t="s">
        <v>36</v>
      </c>
      <c r="N37" s="72" t="str">
        <f t="shared" si="26"/>
        <v>Physical4</v>
      </c>
      <c r="O37" s="56"/>
      <c r="P37" s="52" t="str">
        <f>""&amp;F37&amp;"-To-LEAF1"</f>
        <v>TO-NAT-Redirect-MG4-PORT-1-To-LEAF1</v>
      </c>
      <c r="Q37" s="12" t="s">
        <v>36</v>
      </c>
      <c r="R37" s="52">
        <f t="shared" ref="R37:U37" si="30">R36</f>
        <v>100</v>
      </c>
      <c r="S37" s="52">
        <f t="shared" si="30"/>
        <v>100</v>
      </c>
      <c r="T37" s="52">
        <f t="shared" si="30"/>
        <v>3</v>
      </c>
      <c r="U37" s="52" t="str">
        <f t="shared" si="30"/>
        <v>Static</v>
      </c>
      <c r="V37" s="191" t="s">
        <v>36</v>
      </c>
      <c r="W37" s="183" t="s">
        <v>36</v>
      </c>
      <c r="X37" s="208" t="str">
        <f t="shared" ref="X37:X38" si="31">X36</f>
        <v>2402:3a80:1fff:3f::/96</v>
      </c>
      <c r="Y37" s="10" t="str">
        <f t="shared" si="28"/>
        <v>2402:3a80:1fff:12::5</v>
      </c>
      <c r="Z37" s="56"/>
      <c r="AA37" s="184"/>
      <c r="AB37" s="52"/>
      <c r="AC37" s="52"/>
      <c r="AD37" s="56"/>
      <c r="AE37" s="56"/>
      <c r="AF37" s="56"/>
      <c r="AG37" s="56"/>
      <c r="AH37" s="56"/>
      <c r="AI37" s="56"/>
    </row>
    <row r="38" spans="2:35">
      <c r="B38" s="56" t="str">
        <f t="shared" si="21"/>
        <v>INVIHR11AMB1SAEU01NK</v>
      </c>
      <c r="C38" s="376"/>
      <c r="D38" s="72" t="s">
        <v>82</v>
      </c>
      <c r="E38" s="11">
        <f>'[2]NAT-13XX_redirect-VPRN'!$I$47</f>
        <v>1330</v>
      </c>
      <c r="F38" s="159" t="s">
        <v>719</v>
      </c>
      <c r="G38" s="56" t="s">
        <v>36</v>
      </c>
      <c r="H38" s="56" t="str">
        <f t="shared" ref="H38" si="32">G38</f>
        <v>NA</v>
      </c>
      <c r="I38" s="159" t="s">
        <v>726</v>
      </c>
      <c r="J38" s="159" t="s">
        <v>727</v>
      </c>
      <c r="K38" s="129" t="s">
        <v>36</v>
      </c>
      <c r="L38" s="244" t="s">
        <v>36</v>
      </c>
      <c r="M38" s="132" t="s">
        <v>36</v>
      </c>
      <c r="N38" s="72" t="str">
        <f t="shared" si="26"/>
        <v>Physical4</v>
      </c>
      <c r="O38" s="56"/>
      <c r="P38" s="52" t="str">
        <f>""&amp;F38&amp;"-To-LEAF2"</f>
        <v>TO-NAT-Redirect-MG4-PORT-2-To-LEAF2</v>
      </c>
      <c r="Q38" s="12" t="s">
        <v>36</v>
      </c>
      <c r="R38" s="52">
        <f t="shared" ref="R38:U38" si="33">R37</f>
        <v>100</v>
      </c>
      <c r="S38" s="52">
        <f t="shared" si="33"/>
        <v>100</v>
      </c>
      <c r="T38" s="52">
        <f t="shared" si="33"/>
        <v>3</v>
      </c>
      <c r="U38" s="52" t="str">
        <f t="shared" si="33"/>
        <v>Static</v>
      </c>
      <c r="V38" s="191" t="s">
        <v>36</v>
      </c>
      <c r="W38" s="183" t="s">
        <v>36</v>
      </c>
      <c r="X38" s="208" t="str">
        <f t="shared" si="31"/>
        <v>2402:3a80:1fff:3f::/96</v>
      </c>
      <c r="Y38" s="10" t="str">
        <f t="shared" si="28"/>
        <v>2402:3a80:1fff:13::5</v>
      </c>
      <c r="Z38" s="56"/>
      <c r="AA38" s="184"/>
      <c r="AB38" s="52"/>
      <c r="AC38" s="52"/>
      <c r="AD38" s="56"/>
      <c r="AE38" s="56"/>
      <c r="AF38" s="56"/>
      <c r="AG38" s="56"/>
      <c r="AH38" s="56"/>
      <c r="AI38" s="56"/>
    </row>
    <row r="39" spans="2:35">
      <c r="B39" s="56" t="str">
        <f>B34</f>
        <v>INVIHR11AMB1SAEU01NK</v>
      </c>
      <c r="C39" s="376"/>
      <c r="D39" s="187"/>
      <c r="E39" s="52"/>
      <c r="F39" s="186" t="s">
        <v>713</v>
      </c>
      <c r="G39" s="56" t="s">
        <v>36</v>
      </c>
      <c r="H39" s="56" t="str">
        <f t="shared" ref="H39:H40" si="34">G39</f>
        <v>NA</v>
      </c>
      <c r="I39" s="156" t="s">
        <v>703</v>
      </c>
      <c r="J39" s="209" t="s">
        <v>36</v>
      </c>
      <c r="K39" s="156"/>
      <c r="L39" s="244" t="s">
        <v>36</v>
      </c>
      <c r="M39" s="228"/>
      <c r="N39" s="72" t="s">
        <v>72</v>
      </c>
      <c r="O39" s="156" t="s">
        <v>83</v>
      </c>
      <c r="P39" s="52" t="str">
        <f>F39</f>
        <v>NAT-IPv6-MG-GRP-1-lo1</v>
      </c>
      <c r="Q39" s="12" t="s">
        <v>36</v>
      </c>
      <c r="R39" s="178"/>
      <c r="S39" s="178"/>
      <c r="T39" s="178"/>
      <c r="U39" s="56"/>
      <c r="V39" s="56"/>
      <c r="W39" s="56"/>
      <c r="X39" s="56"/>
      <c r="Y39" s="193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56"/>
    </row>
    <row r="40" spans="2:35">
      <c r="B40" s="56" t="str">
        <f t="shared" si="21"/>
        <v>INVIHR11AMB1SAEU01NK</v>
      </c>
      <c r="C40" s="376"/>
      <c r="D40" s="56"/>
      <c r="E40" s="56"/>
      <c r="F40" s="159" t="s">
        <v>714</v>
      </c>
      <c r="G40" s="56" t="s">
        <v>36</v>
      </c>
      <c r="H40" s="56" t="str">
        <f t="shared" si="34"/>
        <v>NA</v>
      </c>
      <c r="I40" s="156" t="s">
        <v>704</v>
      </c>
      <c r="J40" s="209" t="s">
        <v>36</v>
      </c>
      <c r="K40" s="156"/>
      <c r="L40" s="244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NAT-IPv6-MG-GRP-1-lo2</v>
      </c>
      <c r="Q40" s="12" t="s">
        <v>36</v>
      </c>
      <c r="R40" s="178"/>
      <c r="S40" s="178"/>
      <c r="T40" s="178"/>
      <c r="U40" s="56"/>
      <c r="V40" s="56"/>
      <c r="W40" s="56"/>
      <c r="X40" s="56"/>
      <c r="Y40" s="193"/>
      <c r="Z40" s="178"/>
      <c r="AA40" s="56"/>
      <c r="AB40" s="52"/>
      <c r="AC40" s="156" t="s">
        <v>83</v>
      </c>
      <c r="AD40" s="56"/>
      <c r="AE40" s="56"/>
      <c r="AF40" s="56"/>
      <c r="AG40" s="56"/>
      <c r="AH40" s="56"/>
      <c r="AI40" s="56"/>
    </row>
    <row r="41" spans="2:35" ht="15" thickBot="1">
      <c r="B41" s="56" t="str">
        <f t="shared" si="21"/>
        <v>INVIHR11AMB1SAEU01NK</v>
      </c>
      <c r="C41" s="376"/>
      <c r="D41" s="56"/>
      <c r="E41" s="56"/>
      <c r="F41" s="159" t="s">
        <v>133</v>
      </c>
      <c r="G41" s="75" t="str">
        <f>'[2]External Interfaces'!$H$53</f>
        <v>10.8.0.0/16</v>
      </c>
      <c r="H41" s="56" t="s">
        <v>36</v>
      </c>
      <c r="I41" s="75" t="str">
        <f>'[2]External Interfaces'!$I$53</f>
        <v>2402:3a80:13be::/47</v>
      </c>
      <c r="J41" s="209" t="s">
        <v>36</v>
      </c>
      <c r="K41" s="157"/>
      <c r="L41" s="244" t="s">
        <v>36</v>
      </c>
      <c r="M41" s="243"/>
      <c r="N41" s="72" t="str">
        <f>N40</f>
        <v>Loopback4</v>
      </c>
      <c r="O41" s="156" t="s">
        <v>84</v>
      </c>
      <c r="P41" s="52" t="str">
        <f>F41</f>
        <v>www-pool1</v>
      </c>
      <c r="Q41" s="12" t="s">
        <v>36</v>
      </c>
      <c r="R41" s="56"/>
      <c r="S41" s="56"/>
      <c r="T41" s="56"/>
      <c r="U41" s="56"/>
      <c r="V41" s="272" t="s">
        <v>36</v>
      </c>
      <c r="W41" s="56"/>
      <c r="X41" s="56"/>
      <c r="Y41" s="193"/>
      <c r="Z41" s="56"/>
      <c r="AA41" s="56" t="str">
        <f>AA31</f>
        <v>prefix_vprn1301</v>
      </c>
      <c r="AB41" s="56" t="str">
        <f>AB31</f>
        <v>vprn1301_export</v>
      </c>
      <c r="AC41" s="156" t="s">
        <v>84</v>
      </c>
      <c r="AD41" s="56"/>
      <c r="AE41" s="56"/>
      <c r="AF41" s="56"/>
      <c r="AG41" s="56"/>
      <c r="AH41" s="56"/>
      <c r="AI41" s="56" t="str">
        <f>AI31</f>
        <v>vprn1300_import</v>
      </c>
    </row>
    <row r="42" spans="2:35" ht="15" thickBot="1">
      <c r="K42" s="17"/>
      <c r="L42" s="71"/>
      <c r="M42" s="71"/>
    </row>
    <row r="43" spans="2:35">
      <c r="B43" s="123" t="str">
        <f>B20</f>
        <v>INVIHR11AMB1SAEU01NK</v>
      </c>
      <c r="C43" s="376" t="s">
        <v>749</v>
      </c>
      <c r="D43" s="72" t="s">
        <v>79</v>
      </c>
      <c r="E43" s="75">
        <f>'[2]NAT-14XX_redirect-VPRN'!$I$44</f>
        <v>1400</v>
      </c>
      <c r="F43" s="156" t="s">
        <v>750</v>
      </c>
      <c r="G43" s="56" t="s">
        <v>36</v>
      </c>
      <c r="H43" s="56" t="str">
        <f t="shared" ref="H43:H46" si="35">G43</f>
        <v>NA</v>
      </c>
      <c r="I43" s="159" t="s">
        <v>754</v>
      </c>
      <c r="J43" s="159" t="s">
        <v>755</v>
      </c>
      <c r="K43" s="194">
        <v>1401</v>
      </c>
      <c r="L43" s="244" t="s">
        <v>36</v>
      </c>
      <c r="M43" s="132" t="s">
        <v>36</v>
      </c>
      <c r="N43" s="72" t="s">
        <v>698</v>
      </c>
      <c r="O43" s="56"/>
      <c r="P43" s="52" t="str">
        <f>""&amp;F43&amp;"-To-"&amp;Q31&amp;""</f>
        <v>IPv6-1401-MG3-to-WBX-1-To-1301</v>
      </c>
      <c r="Q43" s="182">
        <v>1401</v>
      </c>
      <c r="R43" s="156">
        <f>R20</f>
        <v>100</v>
      </c>
      <c r="S43" s="156">
        <f>S20</f>
        <v>100</v>
      </c>
      <c r="T43" s="156">
        <f>T20</f>
        <v>3</v>
      </c>
      <c r="U43" s="156" t="s">
        <v>370</v>
      </c>
      <c r="V43" s="193" t="s">
        <v>36</v>
      </c>
      <c r="W43" s="193" t="s">
        <v>36</v>
      </c>
      <c r="X43" s="10" t="str">
        <f>I41</f>
        <v>2402:3a80:13be::/47</v>
      </c>
      <c r="Y43" s="10" t="str">
        <f t="shared" ref="Y43:Y46" si="36">LEFT(J43,FIND("/",J43)-1)</f>
        <v>2402:3a80:1fff:14::5</v>
      </c>
      <c r="Z43" s="75">
        <f>Z31</f>
        <v>65010</v>
      </c>
      <c r="AA43" s="123" t="s">
        <v>36</v>
      </c>
      <c r="AB43" s="123" t="s">
        <v>36</v>
      </c>
      <c r="AC43" s="52"/>
      <c r="AD43" s="52" t="s">
        <v>36</v>
      </c>
      <c r="AE43" s="52" t="s">
        <v>36</v>
      </c>
      <c r="AF43" s="74" t="s">
        <v>36</v>
      </c>
      <c r="AG43" s="74" t="s">
        <v>36</v>
      </c>
      <c r="AH43" s="123" t="s">
        <v>36</v>
      </c>
      <c r="AI43" s="56" t="str">
        <f>"vprn"&amp;AH43&amp;"_import"</f>
        <v>vprnNA_import</v>
      </c>
    </row>
    <row r="44" spans="2:35">
      <c r="B44" s="56" t="str">
        <f>B43</f>
        <v>INVIHR11AMB1SAEU01NK</v>
      </c>
      <c r="C44" s="376"/>
      <c r="D44" s="72" t="s">
        <v>80</v>
      </c>
      <c r="E44" s="75">
        <f>'[2]NAT-14XX_redirect-VPRN'!$I$45</f>
        <v>1410</v>
      </c>
      <c r="F44" s="156" t="s">
        <v>751</v>
      </c>
      <c r="G44" s="56" t="s">
        <v>36</v>
      </c>
      <c r="H44" s="56" t="str">
        <f t="shared" si="35"/>
        <v>NA</v>
      </c>
      <c r="I44" s="159" t="s">
        <v>756</v>
      </c>
      <c r="J44" s="159" t="s">
        <v>757</v>
      </c>
      <c r="K44" s="194">
        <v>1401</v>
      </c>
      <c r="L44" s="244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IPv6-1401-MG3-to-WBX-2-To-1301</v>
      </c>
      <c r="Q44" s="12" t="s">
        <v>36</v>
      </c>
      <c r="R44" s="52">
        <f t="shared" ref="R44:T44" si="37">R43</f>
        <v>100</v>
      </c>
      <c r="S44" s="52">
        <f t="shared" si="37"/>
        <v>100</v>
      </c>
      <c r="T44" s="52">
        <f t="shared" si="37"/>
        <v>3</v>
      </c>
      <c r="U44" s="52" t="str">
        <f>U43</f>
        <v>Static</v>
      </c>
      <c r="V44" s="193" t="s">
        <v>36</v>
      </c>
      <c r="W44" s="193" t="s">
        <v>36</v>
      </c>
      <c r="X44" s="10" t="str">
        <f>X43</f>
        <v>2402:3a80:13be::/47</v>
      </c>
      <c r="Y44" s="10" t="str">
        <f t="shared" si="36"/>
        <v>2402:3a80:1fff:15::5</v>
      </c>
      <c r="Z44" s="56"/>
      <c r="AA44" s="192"/>
      <c r="AB44" s="52"/>
      <c r="AC44" s="52"/>
      <c r="AD44" s="56"/>
      <c r="AE44" s="56"/>
      <c r="AF44" s="56"/>
      <c r="AG44" s="56"/>
      <c r="AH44" s="56"/>
      <c r="AI44" s="56"/>
    </row>
    <row r="45" spans="2:35">
      <c r="B45" s="56" t="str">
        <f t="shared" ref="B45:B46" si="38">B44</f>
        <v>INVIHR11AMB1SAEU01NK</v>
      </c>
      <c r="C45" s="376"/>
      <c r="D45" s="72" t="s">
        <v>81</v>
      </c>
      <c r="E45" s="75">
        <f>'[2]NAT-14XX_redirect-VPRN'!$I$46</f>
        <v>1420</v>
      </c>
      <c r="F45" s="156" t="s">
        <v>752</v>
      </c>
      <c r="G45" s="56" t="s">
        <v>36</v>
      </c>
      <c r="H45" s="56" t="str">
        <f t="shared" si="35"/>
        <v>NA</v>
      </c>
      <c r="I45" s="159" t="s">
        <v>758</v>
      </c>
      <c r="J45" s="159" t="s">
        <v>759</v>
      </c>
      <c r="K45" s="194">
        <v>1401</v>
      </c>
      <c r="L45" s="244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IPv6-1401-MG4-to-WBX-1-To-1301</v>
      </c>
      <c r="Q45" s="12" t="s">
        <v>36</v>
      </c>
      <c r="R45" s="52">
        <f t="shared" ref="R45:T45" si="39">R44</f>
        <v>100</v>
      </c>
      <c r="S45" s="52">
        <f t="shared" si="39"/>
        <v>100</v>
      </c>
      <c r="T45" s="52">
        <f t="shared" si="39"/>
        <v>3</v>
      </c>
      <c r="U45" s="52" t="str">
        <f>U44</f>
        <v>Static</v>
      </c>
      <c r="V45" s="193" t="s">
        <v>36</v>
      </c>
      <c r="W45" s="193" t="s">
        <v>36</v>
      </c>
      <c r="X45" s="10" t="str">
        <f t="shared" ref="X45:X46" si="40">X44</f>
        <v>2402:3a80:13be::/47</v>
      </c>
      <c r="Y45" s="10" t="str">
        <f t="shared" si="36"/>
        <v>2402:3a80:1fff:16::5</v>
      </c>
      <c r="Z45" s="56"/>
      <c r="AA45" s="192"/>
      <c r="AB45" s="52"/>
      <c r="AC45" s="52"/>
      <c r="AD45" s="56"/>
      <c r="AE45" s="56"/>
      <c r="AF45" s="56"/>
      <c r="AG45" s="56"/>
      <c r="AH45" s="56"/>
      <c r="AI45" s="56"/>
    </row>
    <row r="46" spans="2:35" ht="15" thickBot="1">
      <c r="B46" s="56" t="str">
        <f t="shared" si="38"/>
        <v>INVIHR11AMB1SAEU01NK</v>
      </c>
      <c r="C46" s="376"/>
      <c r="D46" s="72" t="s">
        <v>82</v>
      </c>
      <c r="E46" s="75">
        <f>'[2]NAT-14XX_redirect-VPRN'!$I$47</f>
        <v>1430</v>
      </c>
      <c r="F46" s="156" t="s">
        <v>753</v>
      </c>
      <c r="G46" s="56" t="s">
        <v>36</v>
      </c>
      <c r="H46" s="56" t="str">
        <f t="shared" si="35"/>
        <v>NA</v>
      </c>
      <c r="I46" s="159" t="s">
        <v>760</v>
      </c>
      <c r="J46" s="159" t="s">
        <v>761</v>
      </c>
      <c r="K46" s="194">
        <v>1401</v>
      </c>
      <c r="L46" s="244" t="s">
        <v>36</v>
      </c>
      <c r="M46" s="132" t="s">
        <v>36</v>
      </c>
      <c r="N46" s="72" t="str">
        <f>N43</f>
        <v>Physical5</v>
      </c>
      <c r="O46" s="56"/>
      <c r="P46" s="52" t="str">
        <f>""&amp;F46&amp;"-To-"&amp;Q31&amp;""</f>
        <v>IPv6-1401-MG4-to-WBX-2-To-1301</v>
      </c>
      <c r="Q46" s="12" t="s">
        <v>36</v>
      </c>
      <c r="R46" s="52">
        <f t="shared" ref="R46:T46" si="41">R45</f>
        <v>100</v>
      </c>
      <c r="S46" s="52">
        <f t="shared" si="41"/>
        <v>100</v>
      </c>
      <c r="T46" s="52">
        <f t="shared" si="41"/>
        <v>3</v>
      </c>
      <c r="U46" s="52" t="str">
        <f>U45</f>
        <v>Static</v>
      </c>
      <c r="V46" s="193" t="s">
        <v>36</v>
      </c>
      <c r="W46" s="193" t="s">
        <v>36</v>
      </c>
      <c r="X46" s="10" t="str">
        <f t="shared" si="40"/>
        <v>2402:3a80:13be::/47</v>
      </c>
      <c r="Y46" s="10" t="str">
        <f t="shared" si="36"/>
        <v>2402:3a80:1fff:17::5</v>
      </c>
      <c r="Z46" s="56"/>
      <c r="AA46" s="192"/>
      <c r="AB46" s="52"/>
      <c r="AC46" s="52"/>
      <c r="AD46" s="56"/>
      <c r="AE46" s="56"/>
      <c r="AF46" s="56"/>
      <c r="AG46" s="56"/>
      <c r="AH46" s="56"/>
      <c r="AI46" s="56"/>
    </row>
    <row r="47" spans="2:35" ht="15" thickBot="1">
      <c r="L47" s="71"/>
      <c r="M47" s="71"/>
    </row>
  </sheetData>
  <mergeCells count="12">
    <mergeCell ref="C43:C46"/>
    <mergeCell ref="C31:C41"/>
    <mergeCell ref="B1:B3"/>
    <mergeCell ref="C4:AF4"/>
    <mergeCell ref="C8:C15"/>
    <mergeCell ref="C24:C29"/>
    <mergeCell ref="C17:C22"/>
    <mergeCell ref="Q5:AI5"/>
    <mergeCell ref="D5:P5"/>
    <mergeCell ref="AA6:AI6"/>
    <mergeCell ref="U6:Z6"/>
    <mergeCell ref="R6:T6"/>
  </mergeCells>
  <dataValidations count="3">
    <dataValidation type="list" allowBlank="1" showInputMessage="1" showErrorMessage="1" sqref="AC31:AC41 AC43:AC46 AC8:AC29" xr:uid="{ECA49E89-0761-43F8-A6E4-14A960333B90}">
      <formula1>$AC$1:$AC$3</formula1>
    </dataValidation>
    <dataValidation type="list" allowBlank="1" showInputMessage="1" showErrorMessage="1" sqref="U31:U40 U43:U46 U8:U29" xr:uid="{757CDDB6-7841-4022-907A-205ED54585AF}">
      <formula1>$U$1:$U$3</formula1>
    </dataValidation>
    <dataValidation type="list" allowBlank="1" showInputMessage="1" showErrorMessage="1" sqref="O39:O41 O8:O29" xr:uid="{1ACE8523-8DBC-425C-A0E7-307E5914C620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B2DA-FB03-4A4C-8BD7-30B6260943F3}">
  <sheetPr codeName="Sheet17"/>
  <dimension ref="A1:AI47"/>
  <sheetViews>
    <sheetView topLeftCell="P26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5.5546875" bestFit="1" customWidth="1"/>
    <col min="5" max="5" width="6.5546875" bestFit="1" customWidth="1"/>
    <col min="6" max="6" width="29.6640625" bestFit="1" customWidth="1"/>
    <col min="7" max="8" width="15.33203125" bestFit="1" customWidth="1"/>
    <col min="9" max="9" width="21.44140625" bestFit="1" customWidth="1"/>
    <col min="10" max="10" width="19.33203125" bestFit="1" customWidth="1"/>
    <col min="11" max="11" width="6.88671875" style="59" bestFit="1" customWidth="1"/>
    <col min="12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0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0" width="12.33203125" bestFit="1" customWidth="1"/>
    <col min="31" max="31" width="11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Node!B9</f>
        <v>INVIHR11AMB1SAEU01NK</v>
      </c>
      <c r="C8" s="377" t="s">
        <v>217</v>
      </c>
      <c r="D8" s="72" t="s">
        <v>371</v>
      </c>
      <c r="E8" s="11">
        <f>MG1VPRNs!E8</f>
        <v>1106</v>
      </c>
      <c r="F8" s="156" t="s">
        <v>327</v>
      </c>
      <c r="G8" s="163" t="s">
        <v>240</v>
      </c>
      <c r="H8" s="163" t="s">
        <v>210</v>
      </c>
      <c r="I8" s="159" t="s">
        <v>644</v>
      </c>
      <c r="J8" s="159" t="s">
        <v>623</v>
      </c>
      <c r="K8" s="129" t="s">
        <v>36</v>
      </c>
      <c r="L8" s="244" t="s">
        <v>36</v>
      </c>
      <c r="M8" s="132">
        <v>1600</v>
      </c>
      <c r="N8" s="72" t="s">
        <v>64</v>
      </c>
      <c r="O8" s="74"/>
      <c r="P8" s="52" t="str">
        <f>""&amp;F8&amp;"-To-LEAF1"</f>
        <v>UP-CORE-MG5-PORT-1-To-LEAF1</v>
      </c>
      <c r="Q8" s="129">
        <v>102</v>
      </c>
      <c r="R8" s="129">
        <v>100</v>
      </c>
      <c r="S8" s="129">
        <v>100</v>
      </c>
      <c r="T8" s="129">
        <v>3</v>
      </c>
      <c r="U8" s="129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prefix_vprn102</v>
      </c>
      <c r="AB8" s="74" t="str">
        <f>"vprn"&amp;Q8&amp;"_export"</f>
        <v>vprn102_export</v>
      </c>
      <c r="AC8" s="74"/>
      <c r="AD8" s="74" t="str">
        <f>LEFT(G12,FIND("/",G12)-1)</f>
        <v>192.168.3.5</v>
      </c>
      <c r="AE8" s="74" t="str">
        <f>LEFT(G13,FIND("/",G13)-1)</f>
        <v>192.168.3.7</v>
      </c>
      <c r="AF8" s="74" t="str">
        <f>LEFT(I12,FIND("/",I12)-1)</f>
        <v>2402:3a80:1fff:9::51</v>
      </c>
      <c r="AG8" s="74" t="str">
        <f>LEFT(I13,FIND("/",I13)-1)</f>
        <v>2402:3a80:1fff:9::53</v>
      </c>
      <c r="AH8" s="161">
        <v>100</v>
      </c>
      <c r="AI8" s="175" t="str">
        <f>"vprn"&amp;AH8&amp;"_import"</f>
        <v>vprn100_import</v>
      </c>
    </row>
    <row r="9" spans="1:35">
      <c r="A9" s="56"/>
      <c r="B9" s="56" t="str">
        <f>B8</f>
        <v>INVIHR11AMB1SAEU01NK</v>
      </c>
      <c r="C9" s="378"/>
      <c r="D9" s="72" t="s">
        <v>85</v>
      </c>
      <c r="E9" s="11">
        <f>MG1VPRNs!E9</f>
        <v>1116</v>
      </c>
      <c r="F9" s="156" t="s">
        <v>328</v>
      </c>
      <c r="G9" s="163" t="s">
        <v>241</v>
      </c>
      <c r="H9" s="163" t="s">
        <v>212</v>
      </c>
      <c r="I9" s="159" t="s">
        <v>645</v>
      </c>
      <c r="J9" s="159" t="s">
        <v>625</v>
      </c>
      <c r="K9" s="129" t="s">
        <v>36</v>
      </c>
      <c r="L9" s="244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UP-CORE-MG5-PORT-2-To-LEAF2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174"/>
    </row>
    <row r="10" spans="1:35">
      <c r="A10" s="56"/>
      <c r="B10" s="56" t="str">
        <f t="shared" ref="B10:B14" si="1">B9</f>
        <v>INVIHR11AMB1SAEU01NK</v>
      </c>
      <c r="C10" s="378"/>
      <c r="D10" s="72" t="s">
        <v>86</v>
      </c>
      <c r="E10" s="11">
        <f>MG1VPRNs!E10</f>
        <v>1126</v>
      </c>
      <c r="F10" s="156" t="s">
        <v>329</v>
      </c>
      <c r="G10" s="163" t="s">
        <v>242</v>
      </c>
      <c r="H10" s="163" t="s">
        <v>214</v>
      </c>
      <c r="I10" s="159" t="s">
        <v>646</v>
      </c>
      <c r="J10" s="159" t="s">
        <v>627</v>
      </c>
      <c r="K10" s="129" t="s">
        <v>36</v>
      </c>
      <c r="L10" s="244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UP-CORE-MG6-PORT-1-To-LEAF1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174"/>
    </row>
    <row r="11" spans="1:35">
      <c r="A11" s="56"/>
      <c r="B11" s="56" t="str">
        <f t="shared" si="1"/>
        <v>INVIHR11AMB1SAEU01NK</v>
      </c>
      <c r="C11" s="378"/>
      <c r="D11" s="72" t="s">
        <v>87</v>
      </c>
      <c r="E11" s="11">
        <f>MG1VPRNs!E11</f>
        <v>1136</v>
      </c>
      <c r="F11" s="156" t="s">
        <v>330</v>
      </c>
      <c r="G11" s="163" t="s">
        <v>243</v>
      </c>
      <c r="H11" s="163" t="s">
        <v>216</v>
      </c>
      <c r="I11" s="159" t="s">
        <v>647</v>
      </c>
      <c r="J11" s="159" t="s">
        <v>629</v>
      </c>
      <c r="K11" s="129" t="s">
        <v>36</v>
      </c>
      <c r="L11" s="244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UP-CORE-MG6-PORT-2-To-LEAF2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52"/>
      <c r="AD11" s="56"/>
      <c r="AE11" s="56"/>
      <c r="AF11" s="56"/>
      <c r="AG11" s="56"/>
      <c r="AH11" s="56"/>
      <c r="AI11" s="174"/>
    </row>
    <row r="12" spans="1:35">
      <c r="A12" s="56"/>
      <c r="B12" s="56" t="str">
        <f t="shared" si="1"/>
        <v>INVIHR11AMB1SAEU01NK</v>
      </c>
      <c r="C12" s="378"/>
      <c r="D12" s="27"/>
      <c r="E12" s="79"/>
      <c r="F12" s="156" t="s">
        <v>331</v>
      </c>
      <c r="G12" s="131" t="s">
        <v>254</v>
      </c>
      <c r="H12" s="79"/>
      <c r="I12" s="159" t="s">
        <v>648</v>
      </c>
      <c r="J12" s="56" t="s">
        <v>36</v>
      </c>
      <c r="K12" s="167"/>
      <c r="L12" s="244" t="s">
        <v>36</v>
      </c>
      <c r="M12" s="242"/>
      <c r="N12" s="72" t="s">
        <v>68</v>
      </c>
      <c r="O12" s="157" t="s">
        <v>83</v>
      </c>
      <c r="P12" s="52" t="str">
        <f>F12</f>
        <v>UP-CORE-MG-GRP-2-lo1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52"/>
      <c r="AC12" s="156" t="s">
        <v>83</v>
      </c>
      <c r="AD12" s="56"/>
      <c r="AE12" s="56"/>
      <c r="AF12" s="56"/>
      <c r="AG12" s="56"/>
      <c r="AH12" s="56"/>
      <c r="AI12" s="174"/>
    </row>
    <row r="13" spans="1:35">
      <c r="A13" s="56"/>
      <c r="B13" s="56" t="str">
        <f t="shared" si="1"/>
        <v>INVIHR11AMB1SAEU01NK</v>
      </c>
      <c r="C13" s="378"/>
      <c r="D13" s="27"/>
      <c r="E13" s="79"/>
      <c r="F13" s="156" t="s">
        <v>332</v>
      </c>
      <c r="G13" s="131" t="s">
        <v>255</v>
      </c>
      <c r="H13" s="79"/>
      <c r="I13" s="159" t="s">
        <v>649</v>
      </c>
      <c r="J13" s="56" t="s">
        <v>36</v>
      </c>
      <c r="K13" s="167"/>
      <c r="L13" s="244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UP-CORE-MG-GRP-2-lo2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56" t="s">
        <v>83</v>
      </c>
      <c r="AD13" s="56"/>
      <c r="AE13" s="56"/>
      <c r="AF13" s="56"/>
      <c r="AG13" s="56"/>
      <c r="AH13" s="56"/>
      <c r="AI13" s="174"/>
    </row>
    <row r="14" spans="1:35">
      <c r="A14" s="56"/>
      <c r="B14" s="56" t="str">
        <f t="shared" si="1"/>
        <v>INVIHR11AMB1SAEU01NK</v>
      </c>
      <c r="C14" s="378"/>
      <c r="D14" s="27"/>
      <c r="E14" s="81"/>
      <c r="F14" s="156" t="s">
        <v>316</v>
      </c>
      <c r="G14" s="212" t="str">
        <f>'[2]External Interfaces'!$L$11</f>
        <v>203.88.25.4/32</v>
      </c>
      <c r="H14" s="81"/>
      <c r="I14" s="75" t="str">
        <f>'[2]External Interfaces'!$M$11</f>
        <v>2402:8100:12::10f/128</v>
      </c>
      <c r="J14" s="56" t="s">
        <v>36</v>
      </c>
      <c r="K14" s="156"/>
      <c r="L14" s="133" t="s">
        <v>978</v>
      </c>
      <c r="M14" s="227"/>
      <c r="N14" s="72" t="str">
        <f>N12</f>
        <v>Loopback1</v>
      </c>
      <c r="O14" s="157" t="s">
        <v>83</v>
      </c>
      <c r="P14" s="52" t="str">
        <f>F14</f>
        <v>UP-CORE-MG-GRP-2-S1u-SGW_S5-lo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prefix_vprn102</v>
      </c>
      <c r="AB14" s="56" t="str">
        <f>AB8</f>
        <v>vprn102_export</v>
      </c>
      <c r="AC14" s="156" t="s">
        <v>84</v>
      </c>
      <c r="AD14" s="56"/>
      <c r="AE14" s="56"/>
      <c r="AF14" s="56"/>
      <c r="AG14" s="56"/>
      <c r="AH14" s="56"/>
      <c r="AI14" s="174" t="str">
        <f>AI8</f>
        <v>vprn100_import</v>
      </c>
    </row>
    <row r="15" spans="1:35" ht="15" thickBot="1">
      <c r="A15" s="84"/>
      <c r="B15" s="82" t="str">
        <f t="shared" ref="B15" si="4">B13</f>
        <v>INVIHR11AMB1SAEU01NK</v>
      </c>
      <c r="C15" s="379"/>
      <c r="D15" s="29"/>
      <c r="E15" s="81"/>
      <c r="F15" s="157" t="s">
        <v>261</v>
      </c>
      <c r="G15" s="83" t="str">
        <f>'[2]External Interfaces'!$L$20</f>
        <v>203.88.25.8/32</v>
      </c>
      <c r="H15" s="81"/>
      <c r="I15" s="207" t="str">
        <f>'[2]External Interfaces'!$M$20</f>
        <v>2402:8100:12::118/128</v>
      </c>
      <c r="J15" s="56" t="s">
        <v>36</v>
      </c>
      <c r="K15" s="157"/>
      <c r="L15" s="133" t="s">
        <v>979</v>
      </c>
      <c r="M15" s="240"/>
      <c r="N15" s="85" t="str">
        <f>N13</f>
        <v>Loopback1</v>
      </c>
      <c r="O15" s="157" t="s">
        <v>83</v>
      </c>
      <c r="P15" s="52" t="str">
        <f>F15</f>
        <v>UP-CORE-MG-GRP-2-PGW_S5-S8-lo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prefix_vprn102</v>
      </c>
      <c r="AB15" s="87" t="str">
        <f>AB8</f>
        <v>vprn102_export</v>
      </c>
      <c r="AC15" s="157" t="s">
        <v>84</v>
      </c>
      <c r="AD15" s="84"/>
      <c r="AE15" s="84"/>
      <c r="AF15" s="84"/>
      <c r="AG15" s="84"/>
      <c r="AH15" s="84"/>
      <c r="AI15" s="176" t="str">
        <f>AI8</f>
        <v>vprn100_import</v>
      </c>
    </row>
    <row r="16" spans="1:35" ht="15" thickBot="1">
      <c r="A16" s="66"/>
      <c r="B16" s="71"/>
      <c r="C16" s="7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88" t="s">
        <v>371</v>
      </c>
      <c r="E17" s="28">
        <f>MG1VPRNs!E17</f>
        <v>1107</v>
      </c>
      <c r="F17" s="161" t="s">
        <v>340</v>
      </c>
      <c r="G17" s="163" t="s">
        <v>268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44" t="s">
        <v>36</v>
      </c>
      <c r="M17" s="132" t="s">
        <v>36</v>
      </c>
      <c r="N17" s="88" t="s">
        <v>65</v>
      </c>
      <c r="O17" s="74"/>
      <c r="P17" s="52" t="str">
        <f>""&amp;F17&amp;"-To-LEAF1"</f>
        <v>UP-INTERNET-MG5-PORT-1-To-LEAF1</v>
      </c>
      <c r="Q17" s="162">
        <v>202</v>
      </c>
      <c r="R17" s="161">
        <f>R8</f>
        <v>100</v>
      </c>
      <c r="S17" s="161">
        <f t="shared" ref="S17:T17" si="5">S8</f>
        <v>100</v>
      </c>
      <c r="T17" s="161">
        <f t="shared" si="5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6">Z8</f>
        <v>65010</v>
      </c>
      <c r="AA17" s="73" t="str">
        <f>"prefix_vprn"&amp;Q17&amp;""</f>
        <v>prefix_vprn202</v>
      </c>
      <c r="AB17" s="74" t="str">
        <f>"vprn"&amp;Q17&amp;"_export"</f>
        <v>vprn202_export</v>
      </c>
      <c r="AC17" s="74"/>
      <c r="AD17" s="74" t="str">
        <f>LEFT(G21,FIND("/",G21)-1)</f>
        <v>192.168.3.43</v>
      </c>
      <c r="AE17" s="74" t="str">
        <f>LEFT(G22,FIND("/",G22)-1)</f>
        <v>192.168.3.45</v>
      </c>
      <c r="AF17" s="74" t="s">
        <v>36</v>
      </c>
      <c r="AG17" s="74" t="s">
        <v>36</v>
      </c>
      <c r="AH17" s="161">
        <v>200</v>
      </c>
      <c r="AI17" s="175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72" t="s">
        <v>85</v>
      </c>
      <c r="E18" s="11">
        <f>MG1VPRNs!E18</f>
        <v>1117</v>
      </c>
      <c r="F18" s="156" t="s">
        <v>342</v>
      </c>
      <c r="G18" s="163" t="s">
        <v>269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44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UP-INTERNET-MG5-PORT-2-To-LEAF2</v>
      </c>
      <c r="Q18" s="12" t="s">
        <v>36</v>
      </c>
      <c r="R18" s="52">
        <f t="shared" ref="R18:T20" si="7">R17</f>
        <v>100</v>
      </c>
      <c r="S18" s="52">
        <f t="shared" si="7"/>
        <v>100</v>
      </c>
      <c r="T18" s="52">
        <f t="shared" si="7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174"/>
    </row>
    <row r="19" spans="1:35">
      <c r="A19" s="56"/>
      <c r="B19" s="56" t="str">
        <f t="shared" ref="B19:B22" si="8">B18</f>
        <v>INVIHR11AMB1SAEU01NK</v>
      </c>
      <c r="C19" s="378"/>
      <c r="D19" s="72" t="s">
        <v>86</v>
      </c>
      <c r="E19" s="11">
        <f>MG1VPRNs!E19</f>
        <v>1127</v>
      </c>
      <c r="F19" s="156" t="s">
        <v>343</v>
      </c>
      <c r="G19" s="163" t="s">
        <v>270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44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UP-INTERNET-MG6-PORT-1-To-LEAF1</v>
      </c>
      <c r="Q19" s="12" t="s">
        <v>36</v>
      </c>
      <c r="R19" s="52">
        <f t="shared" si="7"/>
        <v>100</v>
      </c>
      <c r="S19" s="52">
        <f t="shared" si="7"/>
        <v>100</v>
      </c>
      <c r="T19" s="52">
        <f t="shared" si="7"/>
        <v>3</v>
      </c>
      <c r="U19" s="52" t="str">
        <f>U18</f>
        <v>Static</v>
      </c>
      <c r="V19" s="52" t="str">
        <f t="shared" ref="V19:V20" si="9">V18</f>
        <v>0.0.0.0/0</v>
      </c>
      <c r="W19" s="254" t="str">
        <f>LEFT(H19,FIND("/",H19)-1)</f>
        <v>192.168.1.158</v>
      </c>
      <c r="X19" s="76" t="str">
        <f t="shared" ref="X19:X20" si="10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174"/>
    </row>
    <row r="20" spans="1:35">
      <c r="A20" s="56"/>
      <c r="B20" s="56" t="str">
        <f t="shared" si="8"/>
        <v>INVIHR11AMB1SAEU01NK</v>
      </c>
      <c r="C20" s="378"/>
      <c r="D20" s="72" t="s">
        <v>87</v>
      </c>
      <c r="E20" s="11">
        <f>MG1VPRNs!E20</f>
        <v>1137</v>
      </c>
      <c r="F20" s="156" t="s">
        <v>344</v>
      </c>
      <c r="G20" s="163" t="s">
        <v>271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44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UP-INTERNET-MG6-PORT-2-To-LEAF2</v>
      </c>
      <c r="Q20" s="12" t="s">
        <v>36</v>
      </c>
      <c r="R20" s="52">
        <f t="shared" si="7"/>
        <v>100</v>
      </c>
      <c r="S20" s="52">
        <f t="shared" si="7"/>
        <v>100</v>
      </c>
      <c r="T20" s="52">
        <f t="shared" si="7"/>
        <v>3</v>
      </c>
      <c r="U20" s="52" t="str">
        <f>U19</f>
        <v>Static</v>
      </c>
      <c r="V20" s="52" t="str">
        <f t="shared" si="9"/>
        <v>0.0.0.0/0</v>
      </c>
      <c r="W20" s="254" t="str">
        <f>LEFT(H20,FIND("/",H20)-1)</f>
        <v>192.168.2.158</v>
      </c>
      <c r="X20" s="76" t="str">
        <f t="shared" si="10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174"/>
    </row>
    <row r="21" spans="1:35">
      <c r="A21" s="56"/>
      <c r="B21" s="56" t="str">
        <f t="shared" si="8"/>
        <v>INVIHR11AMB1SAEU01NK</v>
      </c>
      <c r="C21" s="378"/>
      <c r="D21" s="27"/>
      <c r="E21" s="79"/>
      <c r="F21" s="156" t="s">
        <v>337</v>
      </c>
      <c r="G21" s="131" t="s">
        <v>282</v>
      </c>
      <c r="H21" s="79"/>
      <c r="I21" s="76" t="s">
        <v>36</v>
      </c>
      <c r="J21" s="206" t="s">
        <v>36</v>
      </c>
      <c r="K21" s="157"/>
      <c r="L21" s="244" t="s">
        <v>36</v>
      </c>
      <c r="M21" s="228"/>
      <c r="N21" s="72" t="s">
        <v>69</v>
      </c>
      <c r="O21" s="157" t="s">
        <v>83</v>
      </c>
      <c r="P21" s="52" t="str">
        <f>F21</f>
        <v>UP-INTERNET-MG-GRP-2-lo1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174"/>
    </row>
    <row r="22" spans="1:35" ht="15" thickBot="1">
      <c r="A22" s="56"/>
      <c r="B22" s="56" t="str">
        <f t="shared" si="8"/>
        <v>INVIHR11AMB1SAEU01NK</v>
      </c>
      <c r="C22" s="379"/>
      <c r="D22" s="29"/>
      <c r="E22" s="79"/>
      <c r="F22" s="156" t="s">
        <v>338</v>
      </c>
      <c r="G22" s="131" t="s">
        <v>283</v>
      </c>
      <c r="H22" s="79"/>
      <c r="I22" s="76" t="s">
        <v>36</v>
      </c>
      <c r="J22" s="206" t="s">
        <v>36</v>
      </c>
      <c r="K22" s="157"/>
      <c r="L22" s="244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UP-INTERNET-MG-GRP-2-lo2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174"/>
    </row>
    <row r="23" spans="1:35" ht="15" thickBot="1">
      <c r="A23" s="66"/>
      <c r="B23" s="71"/>
      <c r="C23" s="71"/>
      <c r="D23" s="30"/>
      <c r="E23" s="71"/>
      <c r="F23" s="71"/>
      <c r="G23" s="71"/>
      <c r="H23" s="71"/>
      <c r="I23" s="71"/>
      <c r="J23" s="71"/>
      <c r="K23" s="17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88" t="s">
        <v>371</v>
      </c>
      <c r="E24" s="28">
        <f>MG1VPRNs!E24</f>
        <v>1108</v>
      </c>
      <c r="F24" s="161" t="s">
        <v>898</v>
      </c>
      <c r="G24" s="163" t="s">
        <v>292</v>
      </c>
      <c r="H24" s="163" t="s">
        <v>229</v>
      </c>
      <c r="I24" s="169" t="s">
        <v>652</v>
      </c>
      <c r="J24" s="170" t="s">
        <v>637</v>
      </c>
      <c r="K24" s="129" t="s">
        <v>36</v>
      </c>
      <c r="L24" s="244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UP-IMS-MG5-PORT-1-To-LEAF2</v>
      </c>
      <c r="Q24" s="162">
        <v>302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0" t="str">
        <f>LEFT(J24,FIND("/",J24)-1)</f>
        <v>2402:3a80:1fff:a::1</v>
      </c>
      <c r="Z24" s="77">
        <f>Z17</f>
        <v>65010</v>
      </c>
      <c r="AA24" s="73" t="str">
        <f>"prefix_vprn"&amp;Q24&amp;""</f>
        <v>prefix_vprn302</v>
      </c>
      <c r="AB24" s="74" t="str">
        <f>"vprn"&amp;Q24&amp;"_export"</f>
        <v>vprn302_export</v>
      </c>
      <c r="AC24" s="74"/>
      <c r="AD24" s="74" t="str">
        <f>LEFT(G27,FIND("/",G27)-1)</f>
        <v>192.168.2.163</v>
      </c>
      <c r="AE24" s="74" t="str">
        <f>LEFT(G28,FIND("/",G28)-1)</f>
        <v>192.168.3.79</v>
      </c>
      <c r="AF24" s="74" t="str">
        <f>LEFT(I27,FIND("/",I27)-1)</f>
        <v>2402:3a80:1fff:d::4</v>
      </c>
      <c r="AG24" s="74" t="str">
        <f>LEFT(I28,FIND("/",I28)-1)</f>
        <v>2402:3a80:1fff:9::2b</v>
      </c>
      <c r="AH24" s="161">
        <v>300</v>
      </c>
      <c r="AI24" s="175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72" t="s">
        <v>85</v>
      </c>
      <c r="E25" s="11">
        <f>MG1VPRNs!E25</f>
        <v>1118</v>
      </c>
      <c r="F25" s="156" t="s">
        <v>899</v>
      </c>
      <c r="G25" s="163" t="s">
        <v>293</v>
      </c>
      <c r="H25" s="163" t="s">
        <v>231</v>
      </c>
      <c r="I25" s="164" t="s">
        <v>653</v>
      </c>
      <c r="J25" s="167" t="s">
        <v>639</v>
      </c>
      <c r="K25" s="129" t="s">
        <v>36</v>
      </c>
      <c r="L25" s="244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UP-IMS-MG5-PORT-2-To-LEAF2</v>
      </c>
      <c r="Q25" s="12" t="s">
        <v>36</v>
      </c>
      <c r="R25" s="52">
        <f t="shared" ref="R25:T27" si="11">R24</f>
        <v>100</v>
      </c>
      <c r="S25" s="52">
        <f t="shared" si="11"/>
        <v>100</v>
      </c>
      <c r="T25" s="52">
        <f t="shared" si="11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0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174"/>
    </row>
    <row r="26" spans="1:35">
      <c r="A26" s="56"/>
      <c r="B26" s="56" t="str">
        <f t="shared" ref="B26:B29" si="12">B25</f>
        <v>INVIHR11AMB1SAEU01NK</v>
      </c>
      <c r="C26" s="378"/>
      <c r="D26" s="72" t="s">
        <v>86</v>
      </c>
      <c r="E26" s="11">
        <f>MG1VPRNs!E26</f>
        <v>1128</v>
      </c>
      <c r="F26" s="156" t="s">
        <v>900</v>
      </c>
      <c r="G26" s="163" t="s">
        <v>294</v>
      </c>
      <c r="H26" s="163" t="s">
        <v>233</v>
      </c>
      <c r="I26" s="164" t="s">
        <v>654</v>
      </c>
      <c r="J26" s="167" t="s">
        <v>641</v>
      </c>
      <c r="K26" s="129" t="s">
        <v>36</v>
      </c>
      <c r="L26" s="244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UP-IMS-MG6-PORT-1-To-LEAF2</v>
      </c>
      <c r="Q26" s="12" t="s">
        <v>36</v>
      </c>
      <c r="R26" s="52">
        <f t="shared" si="11"/>
        <v>100</v>
      </c>
      <c r="S26" s="52">
        <f t="shared" si="11"/>
        <v>100</v>
      </c>
      <c r="T26" s="52">
        <f t="shared" si="11"/>
        <v>3</v>
      </c>
      <c r="U26" s="52" t="str">
        <f>U25</f>
        <v>Static</v>
      </c>
      <c r="V26" s="52" t="str">
        <f t="shared" ref="V26:V27" si="13">V25</f>
        <v>0.0.0.0/0</v>
      </c>
      <c r="W26" s="254" t="str">
        <f>LEFT(H26,FIND("/",H26)-1)</f>
        <v>192.168.1.190</v>
      </c>
      <c r="X26" s="76" t="str">
        <f t="shared" ref="X26:X27" si="14">X25</f>
        <v>::/0</v>
      </c>
      <c r="Y26" s="10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174"/>
    </row>
    <row r="27" spans="1:35">
      <c r="A27" s="56"/>
      <c r="B27" s="56" t="str">
        <f t="shared" si="12"/>
        <v>INVIHR11AMB1SAEU01NK</v>
      </c>
      <c r="C27" s="378"/>
      <c r="D27" s="72" t="s">
        <v>87</v>
      </c>
      <c r="E27" s="11">
        <f>MG1VPRNs!E27</f>
        <v>1138</v>
      </c>
      <c r="F27" s="156" t="s">
        <v>901</v>
      </c>
      <c r="G27" s="163" t="s">
        <v>295</v>
      </c>
      <c r="H27" s="163" t="s">
        <v>235</v>
      </c>
      <c r="I27" s="165" t="s">
        <v>655</v>
      </c>
      <c r="J27" s="168" t="s">
        <v>643</v>
      </c>
      <c r="K27" s="129" t="s">
        <v>36</v>
      </c>
      <c r="L27" s="244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UP-IMS-MG6-PORT-2-To-LEAF2</v>
      </c>
      <c r="Q27" s="12" t="s">
        <v>36</v>
      </c>
      <c r="R27" s="52">
        <f t="shared" si="11"/>
        <v>100</v>
      </c>
      <c r="S27" s="52">
        <f t="shared" si="11"/>
        <v>100</v>
      </c>
      <c r="T27" s="87">
        <f t="shared" si="11"/>
        <v>3</v>
      </c>
      <c r="U27" s="87" t="str">
        <f>U26</f>
        <v>Static</v>
      </c>
      <c r="V27" s="52" t="str">
        <f t="shared" si="13"/>
        <v>0.0.0.0/0</v>
      </c>
      <c r="W27" s="254" t="str">
        <f>LEFT(H27,FIND("/",H27)-1)</f>
        <v>192.168.2.190</v>
      </c>
      <c r="X27" s="76" t="str">
        <f t="shared" si="14"/>
        <v>::/0</v>
      </c>
      <c r="Y27" s="10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174"/>
    </row>
    <row r="28" spans="1:35">
      <c r="A28" s="56"/>
      <c r="B28" s="56" t="str">
        <f t="shared" si="12"/>
        <v>INVIHR11AMB1SAEU01NK</v>
      </c>
      <c r="C28" s="378"/>
      <c r="D28" s="27"/>
      <c r="E28" s="56"/>
      <c r="F28" s="156" t="s">
        <v>902</v>
      </c>
      <c r="G28" s="131" t="s">
        <v>306</v>
      </c>
      <c r="H28" s="79"/>
      <c r="I28" s="156" t="s">
        <v>656</v>
      </c>
      <c r="J28" s="209" t="s">
        <v>36</v>
      </c>
      <c r="K28" s="157"/>
      <c r="L28" s="244" t="s">
        <v>36</v>
      </c>
      <c r="M28" s="228"/>
      <c r="N28" s="72" t="s">
        <v>70</v>
      </c>
      <c r="O28" s="157" t="s">
        <v>83</v>
      </c>
      <c r="P28" s="52" t="str">
        <f>F28</f>
        <v>UP-IMS-MG-GRP-2-lo1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174"/>
    </row>
    <row r="29" spans="1:35" ht="15" thickBot="1">
      <c r="A29" s="84"/>
      <c r="B29" s="84" t="str">
        <f t="shared" si="12"/>
        <v>INVIHR11AMB1SAEU01NK</v>
      </c>
      <c r="C29" s="379"/>
      <c r="D29" s="29"/>
      <c r="E29" s="84"/>
      <c r="F29" s="157" t="s">
        <v>903</v>
      </c>
      <c r="G29" s="151" t="s">
        <v>307</v>
      </c>
      <c r="H29" s="81"/>
      <c r="I29" s="157" t="s">
        <v>657</v>
      </c>
      <c r="J29" s="206" t="s">
        <v>36</v>
      </c>
      <c r="K29" s="157"/>
      <c r="L29" s="244" t="s">
        <v>36</v>
      </c>
      <c r="M29" s="243"/>
      <c r="N29" s="85" t="str">
        <f>N28</f>
        <v>Loopback3</v>
      </c>
      <c r="O29" s="157" t="s">
        <v>83</v>
      </c>
      <c r="P29" s="52" t="str">
        <f>F29</f>
        <v>UP-IMS-MG-GRP-2-lo2</v>
      </c>
      <c r="Q29" s="14" t="s">
        <v>36</v>
      </c>
      <c r="R29" s="86"/>
      <c r="S29" s="86"/>
      <c r="T29" s="86"/>
      <c r="U29" s="84"/>
      <c r="V29" s="84"/>
      <c r="W29" s="84"/>
      <c r="X29" s="84"/>
      <c r="Y29" s="13"/>
      <c r="Z29" s="86"/>
      <c r="AA29" s="84"/>
      <c r="AB29" s="87"/>
      <c r="AC29" s="157" t="s">
        <v>83</v>
      </c>
      <c r="AD29" s="84"/>
      <c r="AE29" s="84"/>
      <c r="AF29" s="84"/>
      <c r="AG29" s="84"/>
      <c r="AH29" s="84"/>
      <c r="AI29" s="176"/>
    </row>
    <row r="30" spans="1:35" ht="15" thickBot="1">
      <c r="A30" s="104"/>
      <c r="B30" s="99"/>
      <c r="C30" s="100"/>
      <c r="D30" s="71"/>
      <c r="E30" s="91"/>
      <c r="F30" s="91"/>
      <c r="G30" s="105"/>
      <c r="H30" s="105"/>
      <c r="I30" s="91"/>
      <c r="J30" s="91"/>
      <c r="K30" s="17"/>
      <c r="L30" s="71"/>
      <c r="M30" s="71"/>
      <c r="N30" s="99"/>
      <c r="O30" s="99"/>
      <c r="P30" s="99"/>
      <c r="Q30" s="16"/>
      <c r="R30" s="100"/>
      <c r="S30" s="100"/>
      <c r="T30" s="100"/>
      <c r="U30" s="99"/>
      <c r="V30" s="99"/>
      <c r="W30" s="99"/>
      <c r="X30" s="99"/>
      <c r="Y30" s="199"/>
      <c r="Z30" s="100"/>
      <c r="AA30" s="99"/>
      <c r="AB30" s="99"/>
      <c r="AC30" s="99"/>
      <c r="AD30" s="99"/>
      <c r="AE30" s="99"/>
      <c r="AF30" s="99"/>
      <c r="AG30" s="99"/>
      <c r="AH30" s="99"/>
      <c r="AI30" s="200"/>
    </row>
    <row r="31" spans="1:35" ht="15" thickBot="1">
      <c r="A31" s="197"/>
      <c r="B31" s="102" t="str">
        <f>B8</f>
        <v>INVIHR11AMB1SAEU01NK</v>
      </c>
      <c r="C31" s="376" t="s">
        <v>715</v>
      </c>
      <c r="D31" s="88" t="s">
        <v>371</v>
      </c>
      <c r="E31" s="204">
        <f>MG1VPRNs!E31</f>
        <v>1500</v>
      </c>
      <c r="F31" s="159" t="s">
        <v>784</v>
      </c>
      <c r="G31" s="56" t="s">
        <v>36</v>
      </c>
      <c r="H31" s="56" t="str">
        <f t="shared" ref="H31:H40" si="15">G31</f>
        <v>NA</v>
      </c>
      <c r="I31" s="161" t="s">
        <v>788</v>
      </c>
      <c r="J31" s="161" t="s">
        <v>691</v>
      </c>
      <c r="K31" s="129" t="s">
        <v>36</v>
      </c>
      <c r="L31" s="244" t="s">
        <v>36</v>
      </c>
      <c r="M31" s="132" t="s">
        <v>36</v>
      </c>
      <c r="N31" s="88" t="s">
        <v>67</v>
      </c>
      <c r="O31" s="73"/>
      <c r="P31" s="52" t="str">
        <f t="shared" ref="P31:P38" si="16">""&amp;F31&amp;"-To-LEAF2"</f>
        <v>Non-NAT-IPv6-MG5-PORT-1-To-LEAF2</v>
      </c>
      <c r="Q31" s="162">
        <v>1302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0" t="str">
        <f t="shared" ref="Y31:Y38" si="17">LEFT(J31,FIND("/",J31)-1)</f>
        <v>2402:3a80:1fff:5::1</v>
      </c>
      <c r="Z31" s="77">
        <f>Z24</f>
        <v>65010</v>
      </c>
      <c r="AA31" s="73" t="str">
        <f>"prefix_vprn"&amp;Q31&amp;""</f>
        <v>prefix_vprn1302</v>
      </c>
      <c r="AB31" s="74" t="str">
        <f>"vprn"&amp;Q31&amp;"_export"</f>
        <v>vprn1302_export</v>
      </c>
      <c r="AC31" s="74"/>
      <c r="AD31" s="74" t="s">
        <v>36</v>
      </c>
      <c r="AE31" s="74" t="s">
        <v>36</v>
      </c>
      <c r="AF31" s="74" t="str">
        <f>LEFT(I38,FIND("/",I38)-1)</f>
        <v>2402:3a80:1fff:13::a</v>
      </c>
      <c r="AG31" s="74" t="str">
        <f>LEFT(I39,FIND("/",I39)-1)</f>
        <v>2402:3a80:1fff:9::5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72" t="s">
        <v>85</v>
      </c>
      <c r="E32" s="204">
        <f>MG1VPRNs!E32</f>
        <v>1510</v>
      </c>
      <c r="F32" s="159" t="s">
        <v>785</v>
      </c>
      <c r="G32" s="56" t="s">
        <v>36</v>
      </c>
      <c r="H32" s="56" t="str">
        <f t="shared" si="15"/>
        <v>NA</v>
      </c>
      <c r="I32" s="156" t="s">
        <v>789</v>
      </c>
      <c r="J32" s="156" t="s">
        <v>693</v>
      </c>
      <c r="K32" s="129" t="s">
        <v>36</v>
      </c>
      <c r="L32" s="244" t="s">
        <v>36</v>
      </c>
      <c r="M32" s="132" t="s">
        <v>36</v>
      </c>
      <c r="N32" s="72" t="str">
        <f>N31</f>
        <v>Physical4</v>
      </c>
      <c r="O32" s="56"/>
      <c r="P32" s="52" t="str">
        <f t="shared" si="16"/>
        <v>Non-NAT-IPv6-MG5-PORT-2-To-LEAF2</v>
      </c>
      <c r="Q32" s="12" t="s">
        <v>36</v>
      </c>
      <c r="R32" s="52">
        <f t="shared" ref="R32:U38" si="18">R31</f>
        <v>100</v>
      </c>
      <c r="S32" s="52">
        <f t="shared" si="18"/>
        <v>100</v>
      </c>
      <c r="T32" s="52">
        <f t="shared" si="18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0" t="str">
        <f t="shared" si="17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9">B32</f>
        <v>INVIHR11AMB1SAEU01NK</v>
      </c>
      <c r="C33" s="376"/>
      <c r="D33" s="72" t="s">
        <v>86</v>
      </c>
      <c r="E33" s="204">
        <f>MG1VPRNs!E33</f>
        <v>1520</v>
      </c>
      <c r="F33" s="159" t="s">
        <v>786</v>
      </c>
      <c r="G33" s="56" t="s">
        <v>36</v>
      </c>
      <c r="H33" s="56" t="str">
        <f t="shared" si="15"/>
        <v>NA</v>
      </c>
      <c r="I33" s="156" t="s">
        <v>790</v>
      </c>
      <c r="J33" s="156" t="s">
        <v>695</v>
      </c>
      <c r="K33" s="129" t="s">
        <v>36</v>
      </c>
      <c r="L33" s="244" t="s">
        <v>36</v>
      </c>
      <c r="M33" s="132" t="s">
        <v>36</v>
      </c>
      <c r="N33" s="72" t="str">
        <f>N31</f>
        <v>Physical4</v>
      </c>
      <c r="O33" s="56"/>
      <c r="P33" s="52" t="str">
        <f t="shared" si="16"/>
        <v>Non-NAT-IPv6-MG6-PORT-1-To-LEAF2</v>
      </c>
      <c r="Q33" s="12" t="s">
        <v>36</v>
      </c>
      <c r="R33" s="52">
        <f t="shared" si="18"/>
        <v>100</v>
      </c>
      <c r="S33" s="52">
        <f t="shared" si="18"/>
        <v>100</v>
      </c>
      <c r="T33" s="52">
        <f t="shared" si="18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20">X32</f>
        <v>::/0</v>
      </c>
      <c r="Y33" s="10" t="str">
        <f t="shared" si="17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9"/>
        <v>INVIHR11AMB1SAEU01NK</v>
      </c>
      <c r="C34" s="376"/>
      <c r="D34" s="72" t="s">
        <v>87</v>
      </c>
      <c r="E34" s="204">
        <f>MG1VPRNs!E34</f>
        <v>1530</v>
      </c>
      <c r="F34" s="159" t="s">
        <v>787</v>
      </c>
      <c r="G34" s="56" t="s">
        <v>36</v>
      </c>
      <c r="H34" s="56" t="str">
        <f t="shared" si="15"/>
        <v>NA</v>
      </c>
      <c r="I34" s="156" t="s">
        <v>791</v>
      </c>
      <c r="J34" s="156" t="s">
        <v>697</v>
      </c>
      <c r="K34" s="129" t="s">
        <v>36</v>
      </c>
      <c r="L34" s="244" t="s">
        <v>36</v>
      </c>
      <c r="M34" s="132" t="s">
        <v>36</v>
      </c>
      <c r="N34" s="72" t="str">
        <f>N31</f>
        <v>Physical4</v>
      </c>
      <c r="O34" s="56"/>
      <c r="P34" s="52" t="str">
        <f t="shared" si="16"/>
        <v>Non-NAT-IPv6-MG6-PORT-2-To-LEAF2</v>
      </c>
      <c r="Q34" s="12" t="s">
        <v>36</v>
      </c>
      <c r="R34" s="52">
        <f t="shared" si="18"/>
        <v>100</v>
      </c>
      <c r="S34" s="52">
        <f t="shared" si="18"/>
        <v>100</v>
      </c>
      <c r="T34" s="52">
        <f t="shared" si="18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20"/>
        <v>::/0</v>
      </c>
      <c r="Y34" s="10" t="str">
        <f t="shared" si="17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9"/>
        <v>INVIHR11AMB1SAEU01NK</v>
      </c>
      <c r="C35" s="376"/>
      <c r="D35" s="88" t="s">
        <v>371</v>
      </c>
      <c r="E35" s="205">
        <f>MG1VPRNs!E35</f>
        <v>1300</v>
      </c>
      <c r="F35" s="159" t="s">
        <v>792</v>
      </c>
      <c r="G35" s="56" t="s">
        <v>36</v>
      </c>
      <c r="H35" s="56" t="str">
        <f t="shared" si="15"/>
        <v>NA</v>
      </c>
      <c r="I35" s="159" t="s">
        <v>796</v>
      </c>
      <c r="J35" s="159" t="s">
        <v>797</v>
      </c>
      <c r="K35" s="129" t="s">
        <v>36</v>
      </c>
      <c r="L35" s="244" t="s">
        <v>36</v>
      </c>
      <c r="M35" s="132" t="s">
        <v>36</v>
      </c>
      <c r="N35" s="72" t="str">
        <f t="shared" ref="N35:N38" si="21">N32</f>
        <v>Physical4</v>
      </c>
      <c r="O35" s="56"/>
      <c r="P35" s="52" t="str">
        <f t="shared" si="16"/>
        <v>TO-NAT-Redirect-MG5-PORT-1-To-LEAF2</v>
      </c>
      <c r="Q35" s="12" t="s">
        <v>36</v>
      </c>
      <c r="R35" s="52">
        <f t="shared" si="18"/>
        <v>100</v>
      </c>
      <c r="S35" s="52">
        <f t="shared" si="18"/>
        <v>100</v>
      </c>
      <c r="T35" s="52">
        <f t="shared" si="18"/>
        <v>3</v>
      </c>
      <c r="U35" s="52" t="str">
        <f t="shared" si="18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0" t="str">
        <f t="shared" si="17"/>
        <v>2402:3a80:1fff:10::9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9"/>
        <v>INVIHR11AMB1SAEU01NK</v>
      </c>
      <c r="C36" s="376"/>
      <c r="D36" s="72" t="s">
        <v>85</v>
      </c>
      <c r="E36" s="205">
        <f>MG1VPRNs!E36</f>
        <v>1310</v>
      </c>
      <c r="F36" s="159" t="s">
        <v>793</v>
      </c>
      <c r="G36" s="56" t="s">
        <v>36</v>
      </c>
      <c r="H36" s="56" t="str">
        <f t="shared" si="15"/>
        <v>NA</v>
      </c>
      <c r="I36" s="159" t="s">
        <v>798</v>
      </c>
      <c r="J36" s="159" t="s">
        <v>799</v>
      </c>
      <c r="K36" s="129" t="s">
        <v>36</v>
      </c>
      <c r="L36" s="244" t="s">
        <v>36</v>
      </c>
      <c r="M36" s="132" t="s">
        <v>36</v>
      </c>
      <c r="N36" s="72" t="str">
        <f t="shared" si="21"/>
        <v>Physical4</v>
      </c>
      <c r="O36" s="56"/>
      <c r="P36" s="52" t="str">
        <f t="shared" si="16"/>
        <v>TO-NAT-Redirect-MG5-PORT-2-To-LEAF2</v>
      </c>
      <c r="Q36" s="12" t="s">
        <v>36</v>
      </c>
      <c r="R36" s="52">
        <f t="shared" si="18"/>
        <v>100</v>
      </c>
      <c r="S36" s="52">
        <f t="shared" si="18"/>
        <v>100</v>
      </c>
      <c r="T36" s="52">
        <f t="shared" si="18"/>
        <v>3</v>
      </c>
      <c r="U36" s="52" t="str">
        <f t="shared" si="18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0" t="str">
        <f t="shared" si="17"/>
        <v>2402:3a80:1fff:11::9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9"/>
        <v>INVIHR11AMB1SAEU01NK</v>
      </c>
      <c r="C37" s="376"/>
      <c r="D37" s="72" t="s">
        <v>86</v>
      </c>
      <c r="E37" s="205">
        <f>MG1VPRNs!E37</f>
        <v>1320</v>
      </c>
      <c r="F37" s="159" t="s">
        <v>794</v>
      </c>
      <c r="G37" s="56" t="s">
        <v>36</v>
      </c>
      <c r="H37" s="56" t="str">
        <f t="shared" si="15"/>
        <v>NA</v>
      </c>
      <c r="I37" s="159" t="s">
        <v>800</v>
      </c>
      <c r="J37" s="159" t="s">
        <v>801</v>
      </c>
      <c r="K37" s="129" t="s">
        <v>36</v>
      </c>
      <c r="L37" s="244" t="s">
        <v>36</v>
      </c>
      <c r="M37" s="132" t="s">
        <v>36</v>
      </c>
      <c r="N37" s="72" t="str">
        <f t="shared" si="21"/>
        <v>Physical4</v>
      </c>
      <c r="O37" s="56"/>
      <c r="P37" s="52" t="str">
        <f t="shared" si="16"/>
        <v>TO-NAT-Redirect-MG6-PORT-1-To-LEAF2</v>
      </c>
      <c r="Q37" s="12" t="s">
        <v>36</v>
      </c>
      <c r="R37" s="52">
        <f t="shared" si="18"/>
        <v>100</v>
      </c>
      <c r="S37" s="52">
        <f t="shared" si="18"/>
        <v>100</v>
      </c>
      <c r="T37" s="52">
        <f t="shared" si="18"/>
        <v>3</v>
      </c>
      <c r="U37" s="52" t="str">
        <f t="shared" si="18"/>
        <v>Static</v>
      </c>
      <c r="V37" s="253" t="s">
        <v>36</v>
      </c>
      <c r="W37" s="253" t="s">
        <v>36</v>
      </c>
      <c r="X37" s="208" t="str">
        <f t="shared" ref="X37:X38" si="22">X36</f>
        <v>2402:3a80:1fff:3f::/96</v>
      </c>
      <c r="Y37" s="10" t="str">
        <f t="shared" si="17"/>
        <v>2402:3a80:1fff:12::9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9"/>
        <v>INVIHR11AMB1SAEU01NK</v>
      </c>
      <c r="C38" s="376"/>
      <c r="D38" s="72" t="s">
        <v>87</v>
      </c>
      <c r="E38" s="205">
        <f>MG1VPRNs!E38</f>
        <v>1330</v>
      </c>
      <c r="F38" s="159" t="s">
        <v>795</v>
      </c>
      <c r="G38" s="56" t="s">
        <v>36</v>
      </c>
      <c r="H38" s="56" t="str">
        <f t="shared" si="15"/>
        <v>NA</v>
      </c>
      <c r="I38" s="159" t="s">
        <v>802</v>
      </c>
      <c r="J38" s="159" t="s">
        <v>803</v>
      </c>
      <c r="K38" s="129" t="s">
        <v>36</v>
      </c>
      <c r="L38" s="244" t="s">
        <v>36</v>
      </c>
      <c r="M38" s="132" t="s">
        <v>36</v>
      </c>
      <c r="N38" s="72" t="str">
        <f t="shared" si="21"/>
        <v>Physical4</v>
      </c>
      <c r="O38" s="56"/>
      <c r="P38" s="52" t="str">
        <f t="shared" si="16"/>
        <v>TO-NAT-Redirect-MG6-PORT-2-To-LEAF2</v>
      </c>
      <c r="Q38" s="12" t="s">
        <v>36</v>
      </c>
      <c r="R38" s="52">
        <f t="shared" si="18"/>
        <v>100</v>
      </c>
      <c r="S38" s="52">
        <f t="shared" si="18"/>
        <v>100</v>
      </c>
      <c r="T38" s="52">
        <f t="shared" si="18"/>
        <v>3</v>
      </c>
      <c r="U38" s="52" t="str">
        <f t="shared" si="18"/>
        <v>Static</v>
      </c>
      <c r="V38" s="253" t="s">
        <v>36</v>
      </c>
      <c r="W38" s="253" t="s">
        <v>36</v>
      </c>
      <c r="X38" s="208" t="str">
        <f t="shared" si="22"/>
        <v>2402:3a80:1fff:3f::/96</v>
      </c>
      <c r="Y38" s="10" t="str">
        <f t="shared" si="17"/>
        <v>2402:3a80:1fff:13::9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804</v>
      </c>
      <c r="G39" s="56" t="s">
        <v>36</v>
      </c>
      <c r="H39" s="56" t="str">
        <f t="shared" si="15"/>
        <v>NA</v>
      </c>
      <c r="I39" s="159" t="s">
        <v>806</v>
      </c>
      <c r="J39" s="206" t="s">
        <v>36</v>
      </c>
      <c r="K39" s="156"/>
      <c r="L39" s="244" t="s">
        <v>36</v>
      </c>
      <c r="M39" s="228"/>
      <c r="N39" s="72" t="s">
        <v>72</v>
      </c>
      <c r="O39" s="156" t="s">
        <v>83</v>
      </c>
      <c r="P39" s="52" t="str">
        <f>F39</f>
        <v>NAT-IPv6-MG-GRP-2-lo1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9"/>
        <v>INVIHR11AMB1SAEU01NK</v>
      </c>
      <c r="C40" s="376"/>
      <c r="D40" s="56"/>
      <c r="E40" s="56"/>
      <c r="F40" s="159" t="s">
        <v>805</v>
      </c>
      <c r="G40" s="56" t="s">
        <v>36</v>
      </c>
      <c r="H40" s="56" t="str">
        <f t="shared" si="15"/>
        <v>NA</v>
      </c>
      <c r="I40" s="159" t="s">
        <v>807</v>
      </c>
      <c r="J40" s="206" t="s">
        <v>36</v>
      </c>
      <c r="K40" s="156"/>
      <c r="L40" s="244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NAT-IPv6-MG-GRP-2-lo2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9"/>
        <v>INVIHR11AMB1SAEU01NK</v>
      </c>
      <c r="C41" s="376"/>
      <c r="D41" s="84"/>
      <c r="E41" s="84"/>
      <c r="F41" s="159" t="s">
        <v>474</v>
      </c>
      <c r="G41" s="207" t="str">
        <f>'[2]External Interfaces'!$H$55</f>
        <v>10.9.0.0/16</v>
      </c>
      <c r="H41" s="56" t="s">
        <v>36</v>
      </c>
      <c r="I41" s="207" t="str">
        <f>'[2]External Interfaces'!$I$55</f>
        <v>2402:3a80:13a2::/47</v>
      </c>
      <c r="J41" s="206" t="s">
        <v>36</v>
      </c>
      <c r="K41" s="157"/>
      <c r="L41" s="244" t="s">
        <v>36</v>
      </c>
      <c r="M41" s="243"/>
      <c r="N41" s="85" t="str">
        <f>N40</f>
        <v>Loopback4</v>
      </c>
      <c r="O41" s="157" t="s">
        <v>84</v>
      </c>
      <c r="P41" s="73" t="str">
        <f>F41</f>
        <v>www-pool2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prefix_vprn1302</v>
      </c>
      <c r="AB41" s="84" t="str">
        <f>AB31</f>
        <v>vprn1302_export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17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88" t="s">
        <v>371</v>
      </c>
      <c r="E43" s="77">
        <f>MG1VPRNs!E43</f>
        <v>1400</v>
      </c>
      <c r="F43" s="159" t="s">
        <v>808</v>
      </c>
      <c r="G43" s="56" t="s">
        <v>36</v>
      </c>
      <c r="H43" s="56" t="str">
        <f t="shared" ref="H43:H46" si="23">G43</f>
        <v>NA</v>
      </c>
      <c r="I43" s="159" t="s">
        <v>812</v>
      </c>
      <c r="J43" s="159" t="s">
        <v>813</v>
      </c>
      <c r="K43" s="194">
        <v>1402</v>
      </c>
      <c r="L43" s="244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IPv6-1402-MG5-to-WBX-1-To-1302</v>
      </c>
      <c r="Q43" s="162">
        <v>1402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 t="str">
        <f>I41</f>
        <v>2402:3a80:13a2::/47</v>
      </c>
      <c r="Y43" s="10" t="str">
        <f>LEFT(J43,FIND("/",J43)-1)</f>
        <v>2402:3a80:1fff:14::9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72" t="s">
        <v>85</v>
      </c>
      <c r="E44" s="77">
        <f>MG1VPRNs!E44</f>
        <v>1410</v>
      </c>
      <c r="F44" s="159" t="s">
        <v>809</v>
      </c>
      <c r="G44" s="56" t="s">
        <v>36</v>
      </c>
      <c r="H44" s="56" t="str">
        <f t="shared" si="23"/>
        <v>NA</v>
      </c>
      <c r="I44" s="159" t="s">
        <v>814</v>
      </c>
      <c r="J44" s="159" t="s">
        <v>815</v>
      </c>
      <c r="K44" s="194">
        <v>1402</v>
      </c>
      <c r="L44" s="244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IPv6-1402-MG5-to-WBX-2-To-1302</v>
      </c>
      <c r="Q44" s="12" t="s">
        <v>36</v>
      </c>
      <c r="R44" s="52">
        <f t="shared" ref="R44:T46" si="24">R43</f>
        <v>100</v>
      </c>
      <c r="S44" s="52">
        <f t="shared" si="24"/>
        <v>100</v>
      </c>
      <c r="T44" s="52">
        <f t="shared" si="24"/>
        <v>3</v>
      </c>
      <c r="U44" s="52" t="str">
        <f>U43</f>
        <v>Static</v>
      </c>
      <c r="V44" s="253" t="s">
        <v>36</v>
      </c>
      <c r="W44" s="253" t="s">
        <v>36</v>
      </c>
      <c r="X44" s="10" t="str">
        <f>X43</f>
        <v>2402:3a80:13a2::/47</v>
      </c>
      <c r="Y44" s="10" t="str">
        <f>LEFT(J44,FIND("/",J44)-1)</f>
        <v>2402:3a80:1fff:15::9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5">B44</f>
        <v>INVIHR11AMB1SAEU01NK</v>
      </c>
      <c r="C45" s="376"/>
      <c r="D45" s="72" t="s">
        <v>86</v>
      </c>
      <c r="E45" s="77">
        <f>MG1VPRNs!E45</f>
        <v>1420</v>
      </c>
      <c r="F45" s="159" t="s">
        <v>810</v>
      </c>
      <c r="G45" s="56" t="s">
        <v>36</v>
      </c>
      <c r="H45" s="56" t="str">
        <f t="shared" si="23"/>
        <v>NA</v>
      </c>
      <c r="I45" s="159" t="s">
        <v>816</v>
      </c>
      <c r="J45" s="159" t="s">
        <v>817</v>
      </c>
      <c r="K45" s="194">
        <v>1402</v>
      </c>
      <c r="L45" s="244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IPv6-1402-MG6-to-WBX-1-To-1302</v>
      </c>
      <c r="Q45" s="12" t="s">
        <v>36</v>
      </c>
      <c r="R45" s="52">
        <f t="shared" si="24"/>
        <v>100</v>
      </c>
      <c r="S45" s="52">
        <f t="shared" si="24"/>
        <v>100</v>
      </c>
      <c r="T45" s="52">
        <f t="shared" si="24"/>
        <v>3</v>
      </c>
      <c r="U45" s="52" t="str">
        <f>U44</f>
        <v>Static</v>
      </c>
      <c r="V45" s="253" t="s">
        <v>36</v>
      </c>
      <c r="W45" s="253" t="s">
        <v>36</v>
      </c>
      <c r="X45" s="10" t="str">
        <f t="shared" ref="X45:X46" si="26">X44</f>
        <v>2402:3a80:13a2::/47</v>
      </c>
      <c r="Y45" s="10" t="str">
        <f>LEFT(J45,FIND("/",J45)-1)</f>
        <v>2402:3a80:1fff:16::9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56" t="str">
        <f t="shared" si="25"/>
        <v>INVIHR11AMB1SAEU01NK</v>
      </c>
      <c r="C46" s="376"/>
      <c r="D46" s="85" t="s">
        <v>87</v>
      </c>
      <c r="E46" s="77">
        <f>MG1VPRNs!E46</f>
        <v>1430</v>
      </c>
      <c r="F46" s="159" t="s">
        <v>811</v>
      </c>
      <c r="G46" s="56" t="s">
        <v>36</v>
      </c>
      <c r="H46" s="56" t="str">
        <f t="shared" si="23"/>
        <v>NA</v>
      </c>
      <c r="I46" s="159" t="s">
        <v>818</v>
      </c>
      <c r="J46" s="159" t="s">
        <v>819</v>
      </c>
      <c r="K46" s="194">
        <v>1402</v>
      </c>
      <c r="L46" s="244" t="s">
        <v>36</v>
      </c>
      <c r="M46" s="132" t="s">
        <v>36</v>
      </c>
      <c r="N46" s="72" t="str">
        <f>N43</f>
        <v>Physical5</v>
      </c>
      <c r="O46" s="56"/>
      <c r="P46" s="52" t="str">
        <f>""&amp;F46&amp;"-To-"&amp;Q31&amp;""</f>
        <v>IPv6-1402-MG6-to-WBX-2-To-1302</v>
      </c>
      <c r="Q46" s="14" t="s">
        <v>36</v>
      </c>
      <c r="R46" s="87">
        <f t="shared" si="24"/>
        <v>100</v>
      </c>
      <c r="S46" s="87">
        <f t="shared" si="24"/>
        <v>100</v>
      </c>
      <c r="T46" s="87">
        <f t="shared" si="24"/>
        <v>3</v>
      </c>
      <c r="U46" s="87" t="str">
        <f>U45</f>
        <v>Static</v>
      </c>
      <c r="V46" s="145" t="s">
        <v>36</v>
      </c>
      <c r="W46" s="145" t="s">
        <v>36</v>
      </c>
      <c r="X46" s="10" t="str">
        <f t="shared" si="26"/>
        <v>2402:3a80:13a2::/47</v>
      </c>
      <c r="Y46" s="10" t="str">
        <f>LEFT(J46,FIND("/",J46)-1)</f>
        <v>2402:3a80:1fff:17::9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108"/>
      <c r="C47" s="108"/>
      <c r="D47" s="108"/>
      <c r="E47" s="108"/>
      <c r="F47" s="108"/>
      <c r="G47" s="108"/>
      <c r="H47" s="108"/>
      <c r="I47" s="108"/>
      <c r="J47" s="108"/>
      <c r="L47" s="71"/>
      <c r="M47" s="71"/>
      <c r="N47" s="108"/>
      <c r="O47" s="108"/>
      <c r="P47" s="108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AC43:AC46 AC24:AC41 AC8:AC22" xr:uid="{7213399C-9526-491C-BF0B-6AD5A234EA1C}">
      <formula1>$AC$1:$AC$3</formula1>
    </dataValidation>
    <dataValidation type="list" allowBlank="1" showInputMessage="1" showErrorMessage="1" sqref="U43:U46 U24:U40 U8:U22" xr:uid="{75946215-1EB3-4B02-9897-D785F7D80B13}">
      <formula1>$U$1:$U$3</formula1>
    </dataValidation>
    <dataValidation type="list" allowBlank="1" showInputMessage="1" showErrorMessage="1" sqref="O39:O41 O24:O30 O8:O22" xr:uid="{957D3986-85A5-4989-8A36-1C81D44AADA7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8EF6F-9BFB-4F95-BE90-148A32F2D4BE}">
  <sheetPr codeName="Sheet23"/>
  <dimension ref="A1:AI47"/>
  <sheetViews>
    <sheetView topLeftCell="L24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5.5546875" bestFit="1" customWidth="1"/>
    <col min="5" max="5" width="6.5546875" bestFit="1" customWidth="1"/>
    <col min="6" max="6" width="29.6640625" bestFit="1" customWidth="1"/>
    <col min="7" max="7" width="16.6640625" customWidth="1"/>
    <col min="8" max="8" width="15.33203125" bestFit="1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0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1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1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MG1VPRNs!B8</f>
        <v>INVIHR11AMB1SAEU01NK</v>
      </c>
      <c r="C8" s="386" t="s">
        <v>217</v>
      </c>
      <c r="D8" s="72" t="s">
        <v>599</v>
      </c>
      <c r="E8" s="11">
        <f>MG1VPRNs!E8</f>
        <v>1106</v>
      </c>
      <c r="F8" s="156" t="s">
        <v>353</v>
      </c>
      <c r="G8" s="163" t="s">
        <v>244</v>
      </c>
      <c r="H8" s="163" t="s">
        <v>210</v>
      </c>
      <c r="I8" s="159" t="s">
        <v>658</v>
      </c>
      <c r="J8" s="159" t="s">
        <v>623</v>
      </c>
      <c r="K8" s="129" t="s">
        <v>36</v>
      </c>
      <c r="L8" s="244" t="s">
        <v>36</v>
      </c>
      <c r="M8" s="132">
        <v>1600</v>
      </c>
      <c r="N8" s="72" t="s">
        <v>64</v>
      </c>
      <c r="O8" s="74"/>
      <c r="P8" s="52" t="str">
        <f>""&amp;F8&amp;"-To-LEAF1"</f>
        <v>UP-CORE-MG7-PORT-1-To-LEAF1</v>
      </c>
      <c r="Q8" s="162">
        <v>103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prefix_vprn103</v>
      </c>
      <c r="AB8" s="74" t="str">
        <f>"vprn"&amp;Q8&amp;"_export"</f>
        <v>vprn103_export</v>
      </c>
      <c r="AC8" s="74"/>
      <c r="AD8" s="74" t="str">
        <f>LEFT(G12,FIND("/",G12)-1)</f>
        <v>192.168.3.9</v>
      </c>
      <c r="AE8" s="74" t="str">
        <f>LEFT(G13,FIND("/",G13)-1)</f>
        <v>192.168.3.11</v>
      </c>
      <c r="AF8" s="74" t="str">
        <f>LEFT(I12,FIND("/",I12)-1)</f>
        <v>2402:3a80:1fff:9::55</v>
      </c>
      <c r="AG8" s="74" t="str">
        <f>LEFT(I13,FIND("/",I13)-1)</f>
        <v>2402:3a80:1fff:9::57</v>
      </c>
      <c r="AH8" s="161">
        <v>100</v>
      </c>
      <c r="AI8" s="73" t="str">
        <f>"vprn"&amp;AH8&amp;"_import"</f>
        <v>vprn100_import</v>
      </c>
    </row>
    <row r="9" spans="1:35">
      <c r="A9" s="56"/>
      <c r="B9" s="56" t="str">
        <f>B8</f>
        <v>INVIHR11AMB1SAEU01NK</v>
      </c>
      <c r="C9" s="386"/>
      <c r="D9" s="72" t="s">
        <v>600</v>
      </c>
      <c r="E9" s="11">
        <f>MG1VPRNs!E9</f>
        <v>1116</v>
      </c>
      <c r="F9" s="156" t="s">
        <v>354</v>
      </c>
      <c r="G9" s="163" t="s">
        <v>245</v>
      </c>
      <c r="H9" s="163" t="s">
        <v>212</v>
      </c>
      <c r="I9" s="159" t="s">
        <v>659</v>
      </c>
      <c r="J9" s="159" t="s">
        <v>625</v>
      </c>
      <c r="K9" s="129" t="s">
        <v>36</v>
      </c>
      <c r="L9" s="244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UP-CORE-MG7-PORT-2-To-LEAF2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>
      <c r="A10" s="56"/>
      <c r="B10" s="56" t="str">
        <f t="shared" ref="B10:B14" si="1">B9</f>
        <v>INVIHR11AMB1SAEU01NK</v>
      </c>
      <c r="C10" s="386"/>
      <c r="D10" s="72" t="s">
        <v>601</v>
      </c>
      <c r="E10" s="11">
        <f>MG1VPRNs!E10</f>
        <v>1126</v>
      </c>
      <c r="F10" s="156" t="s">
        <v>355</v>
      </c>
      <c r="G10" s="163" t="s">
        <v>246</v>
      </c>
      <c r="H10" s="163" t="s">
        <v>214</v>
      </c>
      <c r="I10" s="159" t="s">
        <v>660</v>
      </c>
      <c r="J10" s="159" t="s">
        <v>627</v>
      </c>
      <c r="K10" s="129" t="s">
        <v>36</v>
      </c>
      <c r="L10" s="244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UP-CORE-MG8-PORT-1-To-LEAF1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15" thickBot="1">
      <c r="A11" s="56"/>
      <c r="B11" s="56" t="str">
        <f t="shared" si="1"/>
        <v>INVIHR11AMB1SAEU01NK</v>
      </c>
      <c r="C11" s="386"/>
      <c r="D11" s="72" t="s">
        <v>602</v>
      </c>
      <c r="E11" s="11">
        <f>MG1VPRNs!E11</f>
        <v>1136</v>
      </c>
      <c r="F11" s="156" t="s">
        <v>356</v>
      </c>
      <c r="G11" s="163" t="s">
        <v>247</v>
      </c>
      <c r="H11" s="163" t="s">
        <v>216</v>
      </c>
      <c r="I11" s="159" t="s">
        <v>661</v>
      </c>
      <c r="J11" s="159" t="s">
        <v>629</v>
      </c>
      <c r="K11" s="129" t="s">
        <v>36</v>
      </c>
      <c r="L11" s="244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UP-CORE-MG8-PORT-2-To-LEAF2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86"/>
      <c r="D12" s="27"/>
      <c r="E12" s="79"/>
      <c r="F12" s="156" t="s">
        <v>349</v>
      </c>
      <c r="G12" s="131" t="s">
        <v>256</v>
      </c>
      <c r="H12" s="79"/>
      <c r="I12" s="159" t="s">
        <v>662</v>
      </c>
      <c r="J12" s="56" t="s">
        <v>36</v>
      </c>
      <c r="K12" s="167"/>
      <c r="L12" s="244" t="s">
        <v>36</v>
      </c>
      <c r="M12" s="242"/>
      <c r="N12" s="72" t="s">
        <v>68</v>
      </c>
      <c r="O12" s="157" t="s">
        <v>83</v>
      </c>
      <c r="P12" s="52" t="str">
        <f>F12</f>
        <v>UP-CORE-MG-GRP-3-lo1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86"/>
      <c r="D13" s="27"/>
      <c r="E13" s="79"/>
      <c r="F13" s="156" t="s">
        <v>350</v>
      </c>
      <c r="G13" s="131" t="s">
        <v>257</v>
      </c>
      <c r="H13" s="79"/>
      <c r="I13" s="159" t="s">
        <v>663</v>
      </c>
      <c r="J13" s="56" t="s">
        <v>36</v>
      </c>
      <c r="K13" s="167"/>
      <c r="L13" s="244" t="s">
        <v>36</v>
      </c>
      <c r="M13" s="242"/>
      <c r="N13" s="72" t="str">
        <f>N12</f>
        <v>Loopback1</v>
      </c>
      <c r="O13" s="157" t="s">
        <v>83</v>
      </c>
      <c r="P13" s="52" t="str">
        <f t="shared" ref="P13:P15" si="4">F13</f>
        <v>UP-CORE-MG-GRP-3-lo2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86"/>
      <c r="D14" s="27"/>
      <c r="E14" s="81"/>
      <c r="F14" s="156" t="s">
        <v>317</v>
      </c>
      <c r="G14" s="212" t="str">
        <f>'[2]External Interfaces'!$L$12</f>
        <v>203.88.25.5/32</v>
      </c>
      <c r="H14" s="81"/>
      <c r="I14" s="75" t="str">
        <f>'[2]External Interfaces'!$M$12</f>
        <v>2402:8100:12::110/128</v>
      </c>
      <c r="J14" s="56" t="s">
        <v>36</v>
      </c>
      <c r="K14" s="156"/>
      <c r="L14" s="133" t="s">
        <v>980</v>
      </c>
      <c r="M14" s="227"/>
      <c r="N14" s="72" t="str">
        <f>N12</f>
        <v>Loopback1</v>
      </c>
      <c r="O14" s="157" t="s">
        <v>83</v>
      </c>
      <c r="P14" s="52" t="str">
        <f t="shared" si="4"/>
        <v>UP-CORE-MG-GRP-3-S1u-SGW_S5-lo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prefix_vprn103</v>
      </c>
      <c r="AB14" s="56" t="str">
        <f>AB8</f>
        <v>vprn103_export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86"/>
      <c r="D15" s="29"/>
      <c r="E15" s="81"/>
      <c r="F15" s="157" t="s">
        <v>262</v>
      </c>
      <c r="G15" s="83" t="str">
        <f>'[2]External Interfaces'!$L$21</f>
        <v>203.88.25.9/32</v>
      </c>
      <c r="H15" s="81"/>
      <c r="I15" s="207" t="str">
        <f>'[2]External Interfaces'!$M$21</f>
        <v>2402:8100:12::119/128</v>
      </c>
      <c r="J15" s="56" t="s">
        <v>36</v>
      </c>
      <c r="K15" s="157"/>
      <c r="L15" s="133" t="s">
        <v>981</v>
      </c>
      <c r="M15" s="240"/>
      <c r="N15" s="85" t="str">
        <f>N13</f>
        <v>Loopback1</v>
      </c>
      <c r="O15" s="157" t="s">
        <v>83</v>
      </c>
      <c r="P15" s="52" t="str">
        <f t="shared" si="4"/>
        <v>UP-CORE-MG-GRP-3-PGW_S5-S8-lo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prefix_vprn103</v>
      </c>
      <c r="AB15" s="87" t="str">
        <f>AB8</f>
        <v>vprn103_export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7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72" t="s">
        <v>599</v>
      </c>
      <c r="E17" s="28">
        <f>MG1VPRNs!E17</f>
        <v>1107</v>
      </c>
      <c r="F17" s="161" t="s">
        <v>916</v>
      </c>
      <c r="G17" s="163" t="s">
        <v>272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44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UP-INTERNET-MG7-PORT-1-To-LEAF1</v>
      </c>
      <c r="Q17" s="162">
        <v>203</v>
      </c>
      <c r="R17" s="161">
        <f>R8</f>
        <v>100</v>
      </c>
      <c r="S17" s="161">
        <f t="shared" ref="S17:T17" si="5">S8</f>
        <v>100</v>
      </c>
      <c r="T17" s="161">
        <f t="shared" si="5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6">Z8</f>
        <v>65010</v>
      </c>
      <c r="AA17" s="73" t="str">
        <f>"prefix_vprn"&amp;Q17&amp;""</f>
        <v>prefix_vprn203</v>
      </c>
      <c r="AB17" s="74" t="str">
        <f>"vprn"&amp;Q17&amp;"_export"</f>
        <v>vprn203_export</v>
      </c>
      <c r="AC17" s="74"/>
      <c r="AD17" s="74" t="str">
        <f>LEFT(G21,FIND("/",G21)-1)</f>
        <v>192.168.3.47</v>
      </c>
      <c r="AE17" s="74" t="str">
        <f>LEFT(G22,FIND("/",G22)-1)</f>
        <v>192.168.3.49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72" t="s">
        <v>600</v>
      </c>
      <c r="E18" s="11">
        <f>MG1VPRNs!E18</f>
        <v>1117</v>
      </c>
      <c r="F18" s="156" t="s">
        <v>917</v>
      </c>
      <c r="G18" s="163" t="s">
        <v>273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44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UP-INTERNET-MG7-PORT-2-To-LEAF2</v>
      </c>
      <c r="Q18" s="12" t="s">
        <v>36</v>
      </c>
      <c r="R18" s="52">
        <f t="shared" ref="R18:T20" si="7">R17</f>
        <v>100</v>
      </c>
      <c r="S18" s="52">
        <f t="shared" si="7"/>
        <v>100</v>
      </c>
      <c r="T18" s="52">
        <f t="shared" si="7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>
      <c r="A19" s="56"/>
      <c r="B19" s="56" t="str">
        <f t="shared" ref="B19:B22" si="8">B18</f>
        <v>INVIHR11AMB1SAEU01NK</v>
      </c>
      <c r="C19" s="378"/>
      <c r="D19" s="72" t="s">
        <v>601</v>
      </c>
      <c r="E19" s="11">
        <f>MG1VPRNs!E19</f>
        <v>1127</v>
      </c>
      <c r="F19" s="156" t="s">
        <v>918</v>
      </c>
      <c r="G19" s="163" t="s">
        <v>274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44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UP-INTERNET-MG8-PORT-1-To-LEAF1</v>
      </c>
      <c r="Q19" s="12" t="s">
        <v>36</v>
      </c>
      <c r="R19" s="52">
        <f t="shared" si="7"/>
        <v>100</v>
      </c>
      <c r="S19" s="52">
        <f t="shared" si="7"/>
        <v>100</v>
      </c>
      <c r="T19" s="52">
        <f t="shared" si="7"/>
        <v>3</v>
      </c>
      <c r="U19" s="52" t="str">
        <f>U18</f>
        <v>Static</v>
      </c>
      <c r="V19" s="52" t="str">
        <f t="shared" ref="V19:V20" si="9">V18</f>
        <v>0.0.0.0/0</v>
      </c>
      <c r="W19" s="254" t="str">
        <f>LEFT(H19,FIND("/",H19)-1)</f>
        <v>192.168.1.158</v>
      </c>
      <c r="X19" s="76" t="str">
        <f t="shared" ref="X19:X20" si="10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>
      <c r="A20" s="56"/>
      <c r="B20" s="56" t="str">
        <f t="shared" si="8"/>
        <v>INVIHR11AMB1SAEU01NK</v>
      </c>
      <c r="C20" s="378"/>
      <c r="D20" s="72" t="s">
        <v>602</v>
      </c>
      <c r="E20" s="11">
        <f>MG1VPRNs!E20</f>
        <v>1137</v>
      </c>
      <c r="F20" s="156" t="s">
        <v>919</v>
      </c>
      <c r="G20" s="163" t="s">
        <v>275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44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UP-INTERNET-MG8-PORT-2-To-LEAF2</v>
      </c>
      <c r="Q20" s="12" t="s">
        <v>36</v>
      </c>
      <c r="R20" s="52">
        <f t="shared" si="7"/>
        <v>100</v>
      </c>
      <c r="S20" s="52">
        <f t="shared" si="7"/>
        <v>100</v>
      </c>
      <c r="T20" s="52">
        <f t="shared" si="7"/>
        <v>3</v>
      </c>
      <c r="U20" s="52" t="str">
        <f>U19</f>
        <v>Static</v>
      </c>
      <c r="V20" s="52" t="str">
        <f t="shared" si="9"/>
        <v>0.0.0.0/0</v>
      </c>
      <c r="W20" s="254" t="str">
        <f>LEFT(H20,FIND("/",H20)-1)</f>
        <v>192.168.2.158</v>
      </c>
      <c r="X20" s="76" t="str">
        <f t="shared" si="10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8"/>
        <v>INVIHR11AMB1SAEU01NK</v>
      </c>
      <c r="C21" s="378"/>
      <c r="D21" s="27"/>
      <c r="E21" s="79"/>
      <c r="F21" s="156" t="s">
        <v>920</v>
      </c>
      <c r="G21" s="131" t="s">
        <v>284</v>
      </c>
      <c r="H21" s="79"/>
      <c r="I21" s="76" t="s">
        <v>36</v>
      </c>
      <c r="J21" s="206" t="s">
        <v>36</v>
      </c>
      <c r="K21" s="157"/>
      <c r="L21" s="244" t="s">
        <v>36</v>
      </c>
      <c r="M21" s="228"/>
      <c r="N21" s="72" t="s">
        <v>69</v>
      </c>
      <c r="O21" s="157" t="s">
        <v>83</v>
      </c>
      <c r="P21" s="52" t="str">
        <f>F21</f>
        <v>UP-INTERNET-MG-GRP-3-lo1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8"/>
        <v>INVIHR11AMB1SAEU01NK</v>
      </c>
      <c r="C22" s="378"/>
      <c r="D22" s="29"/>
      <c r="E22" s="79"/>
      <c r="F22" s="156" t="s">
        <v>921</v>
      </c>
      <c r="G22" s="131" t="s">
        <v>285</v>
      </c>
      <c r="H22" s="79"/>
      <c r="I22" s="76" t="s">
        <v>36</v>
      </c>
      <c r="J22" s="206" t="s">
        <v>36</v>
      </c>
      <c r="K22" s="157"/>
      <c r="L22" s="244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UP-INTERNET-MG-GRP-3-lo2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71"/>
      <c r="D23" s="30"/>
      <c r="E23" s="71"/>
      <c r="F23" s="71"/>
      <c r="G23" s="71"/>
      <c r="H23" s="71"/>
      <c r="I23" s="71"/>
      <c r="J23" s="71"/>
      <c r="K23" s="17"/>
      <c r="L23" s="71"/>
      <c r="M23" s="71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88" t="s">
        <v>599</v>
      </c>
      <c r="E24" s="28">
        <f>MG1VPRNs!E24</f>
        <v>1108</v>
      </c>
      <c r="F24" s="161" t="s">
        <v>910</v>
      </c>
      <c r="G24" s="163" t="s">
        <v>296</v>
      </c>
      <c r="H24" s="163" t="s">
        <v>229</v>
      </c>
      <c r="I24" s="169" t="s">
        <v>666</v>
      </c>
      <c r="J24" s="170" t="s">
        <v>637</v>
      </c>
      <c r="K24" s="129" t="s">
        <v>36</v>
      </c>
      <c r="L24" s="244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UP-IMS-MG7-PORT-1-To-LEAF2</v>
      </c>
      <c r="Q24" s="162">
        <v>303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prefix_vprn303</v>
      </c>
      <c r="AB24" s="74" t="str">
        <f>"vprn"&amp;Q24&amp;"_export"</f>
        <v>vprn303_export</v>
      </c>
      <c r="AC24" s="74"/>
      <c r="AD24" s="74" t="str">
        <f>LEFT(G28,FIND("/",G28)-1)</f>
        <v>192.168.3.83</v>
      </c>
      <c r="AE24" s="74" t="str">
        <f>LEFT(G29,FIND("/",G29)-1)</f>
        <v>192.168.3.85</v>
      </c>
      <c r="AF24" s="74" t="str">
        <f>LEFT(I28,FIND("/",I28)-1)</f>
        <v>2402:3a80:1fff:9::30</v>
      </c>
      <c r="AG24" s="74" t="str">
        <f>LEFT(I29,FIND("/",I29)-1)</f>
        <v>2402:3a80:1fff:9::32</v>
      </c>
      <c r="AH24" s="161">
        <v>300</v>
      </c>
      <c r="AI24" s="73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72" t="s">
        <v>600</v>
      </c>
      <c r="E25" s="11">
        <f>MG1VPRNs!E25</f>
        <v>1118</v>
      </c>
      <c r="F25" s="156" t="s">
        <v>911</v>
      </c>
      <c r="G25" s="163" t="s">
        <v>297</v>
      </c>
      <c r="H25" s="163" t="s">
        <v>231</v>
      </c>
      <c r="I25" s="164" t="s">
        <v>667</v>
      </c>
      <c r="J25" s="167" t="s">
        <v>639</v>
      </c>
      <c r="K25" s="129" t="s">
        <v>36</v>
      </c>
      <c r="L25" s="244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UP-IMS-MG7-PORT-2-To-LEAF2</v>
      </c>
      <c r="Q25" s="12" t="s">
        <v>36</v>
      </c>
      <c r="R25" s="52">
        <f t="shared" ref="R25:T27" si="11">R24</f>
        <v>100</v>
      </c>
      <c r="S25" s="52">
        <f t="shared" si="11"/>
        <v>100</v>
      </c>
      <c r="T25" s="52">
        <f t="shared" si="11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>
      <c r="A26" s="56"/>
      <c r="B26" s="56" t="str">
        <f t="shared" ref="B26:B29" si="12">B25</f>
        <v>INVIHR11AMB1SAEU01NK</v>
      </c>
      <c r="C26" s="378"/>
      <c r="D26" s="72" t="s">
        <v>601</v>
      </c>
      <c r="E26" s="11">
        <f>MG1VPRNs!E26</f>
        <v>1128</v>
      </c>
      <c r="F26" s="156" t="s">
        <v>912</v>
      </c>
      <c r="G26" s="163" t="s">
        <v>298</v>
      </c>
      <c r="H26" s="163" t="s">
        <v>233</v>
      </c>
      <c r="I26" s="164" t="s">
        <v>668</v>
      </c>
      <c r="J26" s="167" t="s">
        <v>641</v>
      </c>
      <c r="K26" s="129" t="s">
        <v>36</v>
      </c>
      <c r="L26" s="244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UP-IMS-MG8-PORT-1-To-LEAF2</v>
      </c>
      <c r="Q26" s="12" t="s">
        <v>36</v>
      </c>
      <c r="R26" s="52">
        <f t="shared" si="11"/>
        <v>100</v>
      </c>
      <c r="S26" s="52">
        <f t="shared" si="11"/>
        <v>100</v>
      </c>
      <c r="T26" s="52">
        <f t="shared" si="11"/>
        <v>3</v>
      </c>
      <c r="U26" s="52" t="str">
        <f>U25</f>
        <v>Static</v>
      </c>
      <c r="V26" s="52" t="str">
        <f t="shared" ref="V26:V27" si="13">V25</f>
        <v>0.0.0.0/0</v>
      </c>
      <c r="W26" s="254" t="str">
        <f>LEFT(H26,FIND("/",H26)-1)</f>
        <v>192.168.1.190</v>
      </c>
      <c r="X26" s="76" t="str">
        <f t="shared" ref="X26:X27" si="14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>
      <c r="A27" s="56"/>
      <c r="B27" s="56" t="str">
        <f t="shared" si="12"/>
        <v>INVIHR11AMB1SAEU01NK</v>
      </c>
      <c r="C27" s="378"/>
      <c r="D27" s="72" t="s">
        <v>602</v>
      </c>
      <c r="E27" s="11">
        <f>MG1VPRNs!E27</f>
        <v>1138</v>
      </c>
      <c r="F27" s="156" t="s">
        <v>913</v>
      </c>
      <c r="G27" s="163" t="s">
        <v>299</v>
      </c>
      <c r="H27" s="163" t="s">
        <v>235</v>
      </c>
      <c r="I27" s="165" t="s">
        <v>669</v>
      </c>
      <c r="J27" s="168" t="s">
        <v>643</v>
      </c>
      <c r="K27" s="129" t="s">
        <v>36</v>
      </c>
      <c r="L27" s="244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UP-IMS-MG8-PORT-2-To-LEAF2</v>
      </c>
      <c r="Q27" s="12" t="s">
        <v>36</v>
      </c>
      <c r="R27" s="52">
        <f t="shared" si="11"/>
        <v>100</v>
      </c>
      <c r="S27" s="52">
        <f t="shared" si="11"/>
        <v>100</v>
      </c>
      <c r="T27" s="52">
        <f t="shared" si="11"/>
        <v>3</v>
      </c>
      <c r="U27" s="87" t="str">
        <f>U26</f>
        <v>Static</v>
      </c>
      <c r="V27" s="52" t="str">
        <f t="shared" si="13"/>
        <v>0.0.0.0/0</v>
      </c>
      <c r="W27" s="254" t="str">
        <f>LEFT(H27,FIND("/",H27)-1)</f>
        <v>192.168.2.190</v>
      </c>
      <c r="X27" s="76" t="str">
        <f t="shared" si="14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2"/>
        <v>INVIHR11AMB1SAEU01NK</v>
      </c>
      <c r="C28" s="378"/>
      <c r="D28" s="27"/>
      <c r="E28" s="56"/>
      <c r="F28" s="156" t="s">
        <v>914</v>
      </c>
      <c r="G28" s="131" t="s">
        <v>308</v>
      </c>
      <c r="H28" s="79"/>
      <c r="I28" s="156" t="s">
        <v>664</v>
      </c>
      <c r="J28" s="56" t="s">
        <v>36</v>
      </c>
      <c r="K28" s="157"/>
      <c r="L28" s="244" t="s">
        <v>36</v>
      </c>
      <c r="M28" s="228"/>
      <c r="N28" s="72" t="s">
        <v>70</v>
      </c>
      <c r="O28" s="157" t="s">
        <v>83</v>
      </c>
      <c r="P28" s="52" t="str">
        <f>F28</f>
        <v>UP-IMS-MG-GRP-3-lo1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2"/>
        <v>INVIHR11AMB1SAEU01NK</v>
      </c>
      <c r="C29" s="378"/>
      <c r="D29" s="29"/>
      <c r="E29" s="56"/>
      <c r="F29" s="156" t="s">
        <v>915</v>
      </c>
      <c r="G29" s="131" t="s">
        <v>309</v>
      </c>
      <c r="H29" s="79"/>
      <c r="I29" s="156" t="s">
        <v>665</v>
      </c>
      <c r="J29" s="56" t="s">
        <v>36</v>
      </c>
      <c r="K29" s="157"/>
      <c r="L29" s="244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UP-IMS-MG-GRP-3-lo2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71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88" t="s">
        <v>599</v>
      </c>
      <c r="E31" s="204">
        <f>MG1VPRNs!E31</f>
        <v>1500</v>
      </c>
      <c r="F31" s="194" t="s">
        <v>820</v>
      </c>
      <c r="G31" s="73" t="s">
        <v>36</v>
      </c>
      <c r="H31" s="73" t="str">
        <f t="shared" ref="H31:H40" si="15">G31</f>
        <v>NA</v>
      </c>
      <c r="I31" s="194" t="s">
        <v>824</v>
      </c>
      <c r="J31" s="194" t="s">
        <v>691</v>
      </c>
      <c r="K31" s="129" t="s">
        <v>36</v>
      </c>
      <c r="L31" s="244" t="s">
        <v>36</v>
      </c>
      <c r="M31" s="132" t="s">
        <v>36</v>
      </c>
      <c r="N31" s="88" t="s">
        <v>67</v>
      </c>
      <c r="O31" s="73"/>
      <c r="P31" s="52" t="str">
        <f t="shared" ref="P31:P38" si="16">""&amp;F31&amp;"-To-LEAF2"</f>
        <v>Non-NAT-IPv6-MG7-PORT-1-To-LEAF2</v>
      </c>
      <c r="Q31" s="162">
        <v>1303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7">LEFT(J31,FIND("/",J31)-1)</f>
        <v>2402:3a80:1fff:5::1</v>
      </c>
      <c r="Z31" s="77">
        <f>Z24</f>
        <v>65010</v>
      </c>
      <c r="AA31" s="73" t="str">
        <f>"prefix_vprn"&amp;Q31&amp;""</f>
        <v>prefix_vprn1303</v>
      </c>
      <c r="AB31" s="74" t="str">
        <f>"vprn"&amp;Q31&amp;"_export"</f>
        <v>vprn1303_export</v>
      </c>
      <c r="AC31" s="74"/>
      <c r="AD31" s="74" t="s">
        <v>36</v>
      </c>
      <c r="AE31" s="74" t="s">
        <v>36</v>
      </c>
      <c r="AF31" s="74" t="str">
        <f>LEFT(I38,FIND("/",I38)-1)</f>
        <v>2402:3a80:1fff:13::e</v>
      </c>
      <c r="AG31" s="74" t="str">
        <f>LEFT(I39,FIND("/",I39)-1)</f>
        <v>2402:3a80:1fff:9::9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72" t="s">
        <v>600</v>
      </c>
      <c r="E32" s="204">
        <f>MG1VPRNs!E32</f>
        <v>1510</v>
      </c>
      <c r="F32" s="159" t="s">
        <v>821</v>
      </c>
      <c r="G32" s="56" t="s">
        <v>36</v>
      </c>
      <c r="H32" s="56" t="str">
        <f t="shared" si="15"/>
        <v>NA</v>
      </c>
      <c r="I32" s="159" t="s">
        <v>825</v>
      </c>
      <c r="J32" s="159" t="s">
        <v>693</v>
      </c>
      <c r="K32" s="129" t="s">
        <v>36</v>
      </c>
      <c r="L32" s="244" t="s">
        <v>36</v>
      </c>
      <c r="M32" s="132" t="s">
        <v>36</v>
      </c>
      <c r="N32" s="72" t="str">
        <f>N31</f>
        <v>Physical4</v>
      </c>
      <c r="O32" s="56"/>
      <c r="P32" s="52" t="str">
        <f t="shared" si="16"/>
        <v>Non-NAT-IPv6-MG7-PORT-2-To-LEAF2</v>
      </c>
      <c r="Q32" s="12" t="s">
        <v>36</v>
      </c>
      <c r="R32" s="52">
        <f t="shared" ref="R32:U38" si="18">R31</f>
        <v>100</v>
      </c>
      <c r="S32" s="52">
        <f t="shared" si="18"/>
        <v>100</v>
      </c>
      <c r="T32" s="52">
        <f t="shared" si="18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0" t="str">
        <f t="shared" si="17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9">B32</f>
        <v>INVIHR11AMB1SAEU01NK</v>
      </c>
      <c r="C33" s="376"/>
      <c r="D33" s="72" t="s">
        <v>601</v>
      </c>
      <c r="E33" s="204">
        <f>MG1VPRNs!E33</f>
        <v>1520</v>
      </c>
      <c r="F33" s="159" t="s">
        <v>822</v>
      </c>
      <c r="G33" s="56" t="s">
        <v>36</v>
      </c>
      <c r="H33" s="56" t="str">
        <f t="shared" si="15"/>
        <v>NA</v>
      </c>
      <c r="I33" s="159" t="s">
        <v>826</v>
      </c>
      <c r="J33" s="159" t="s">
        <v>695</v>
      </c>
      <c r="K33" s="129" t="s">
        <v>36</v>
      </c>
      <c r="L33" s="244" t="s">
        <v>36</v>
      </c>
      <c r="M33" s="132" t="s">
        <v>36</v>
      </c>
      <c r="N33" s="72" t="str">
        <f>N31</f>
        <v>Physical4</v>
      </c>
      <c r="O33" s="56"/>
      <c r="P33" s="52" t="str">
        <f t="shared" si="16"/>
        <v>Non-NAT-IPv6-MG8-PORT-1-To-LEAF2</v>
      </c>
      <c r="Q33" s="12" t="s">
        <v>36</v>
      </c>
      <c r="R33" s="52">
        <f t="shared" si="18"/>
        <v>100</v>
      </c>
      <c r="S33" s="52">
        <f t="shared" si="18"/>
        <v>100</v>
      </c>
      <c r="T33" s="52">
        <f t="shared" si="18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20">X32</f>
        <v>::/0</v>
      </c>
      <c r="Y33" s="10" t="str">
        <f t="shared" si="17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9"/>
        <v>INVIHR11AMB1SAEU01NK</v>
      </c>
      <c r="C34" s="376"/>
      <c r="D34" s="72" t="s">
        <v>602</v>
      </c>
      <c r="E34" s="204">
        <f>MG1VPRNs!E34</f>
        <v>1530</v>
      </c>
      <c r="F34" s="159" t="s">
        <v>823</v>
      </c>
      <c r="G34" s="56" t="s">
        <v>36</v>
      </c>
      <c r="H34" s="56" t="str">
        <f t="shared" si="15"/>
        <v>NA</v>
      </c>
      <c r="I34" s="159" t="s">
        <v>827</v>
      </c>
      <c r="J34" s="159" t="s">
        <v>697</v>
      </c>
      <c r="K34" s="129" t="s">
        <v>36</v>
      </c>
      <c r="L34" s="244" t="s">
        <v>36</v>
      </c>
      <c r="M34" s="132" t="s">
        <v>36</v>
      </c>
      <c r="N34" s="72" t="str">
        <f>N31</f>
        <v>Physical4</v>
      </c>
      <c r="O34" s="56"/>
      <c r="P34" s="52" t="str">
        <f t="shared" si="16"/>
        <v>Non-NAT-IPv6-MG8-PORT-2-To-LEAF2</v>
      </c>
      <c r="Q34" s="12" t="s">
        <v>36</v>
      </c>
      <c r="R34" s="52">
        <f t="shared" si="18"/>
        <v>100</v>
      </c>
      <c r="S34" s="52">
        <f t="shared" si="18"/>
        <v>100</v>
      </c>
      <c r="T34" s="52">
        <f t="shared" si="18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20"/>
        <v>::/0</v>
      </c>
      <c r="Y34" s="10" t="str">
        <f t="shared" si="17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9"/>
        <v>INVIHR11AMB1SAEU01NK</v>
      </c>
      <c r="C35" s="376"/>
      <c r="D35" s="72" t="s">
        <v>599</v>
      </c>
      <c r="E35" s="205">
        <f>MG1VPRNs!E35</f>
        <v>1300</v>
      </c>
      <c r="F35" s="159" t="s">
        <v>828</v>
      </c>
      <c r="G35" s="56" t="s">
        <v>36</v>
      </c>
      <c r="H35" s="56" t="str">
        <f t="shared" si="15"/>
        <v>NA</v>
      </c>
      <c r="I35" s="159" t="s">
        <v>832</v>
      </c>
      <c r="J35" s="159" t="s">
        <v>833</v>
      </c>
      <c r="K35" s="129" t="s">
        <v>36</v>
      </c>
      <c r="L35" s="244" t="s">
        <v>36</v>
      </c>
      <c r="M35" s="132" t="s">
        <v>36</v>
      </c>
      <c r="N35" s="72" t="str">
        <f t="shared" ref="N35:N38" si="21">N32</f>
        <v>Physical4</v>
      </c>
      <c r="O35" s="56"/>
      <c r="P35" s="52" t="str">
        <f t="shared" si="16"/>
        <v>TO-NAT-Redirect-MG7-PORT-1-To-LEAF2</v>
      </c>
      <c r="Q35" s="12" t="s">
        <v>36</v>
      </c>
      <c r="R35" s="52">
        <f t="shared" si="18"/>
        <v>100</v>
      </c>
      <c r="S35" s="52">
        <f t="shared" si="18"/>
        <v>100</v>
      </c>
      <c r="T35" s="52">
        <f t="shared" si="18"/>
        <v>3</v>
      </c>
      <c r="U35" s="52" t="str">
        <f t="shared" si="18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0" t="str">
        <f t="shared" si="17"/>
        <v>2402:3a80:1fff:10::d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9"/>
        <v>INVIHR11AMB1SAEU01NK</v>
      </c>
      <c r="C36" s="376"/>
      <c r="D36" s="72" t="s">
        <v>600</v>
      </c>
      <c r="E36" s="205">
        <f>MG1VPRNs!E36</f>
        <v>1310</v>
      </c>
      <c r="F36" s="159" t="s">
        <v>829</v>
      </c>
      <c r="G36" s="56" t="s">
        <v>36</v>
      </c>
      <c r="H36" s="56" t="str">
        <f t="shared" si="15"/>
        <v>NA</v>
      </c>
      <c r="I36" s="159" t="s">
        <v>834</v>
      </c>
      <c r="J36" s="159" t="s">
        <v>835</v>
      </c>
      <c r="K36" s="129" t="s">
        <v>36</v>
      </c>
      <c r="L36" s="244" t="s">
        <v>36</v>
      </c>
      <c r="M36" s="132" t="s">
        <v>36</v>
      </c>
      <c r="N36" s="72" t="str">
        <f t="shared" si="21"/>
        <v>Physical4</v>
      </c>
      <c r="O36" s="56"/>
      <c r="P36" s="52" t="str">
        <f t="shared" si="16"/>
        <v>TO-NAT-Redirect-MG7-PORT-2-To-LEAF2</v>
      </c>
      <c r="Q36" s="12" t="s">
        <v>36</v>
      </c>
      <c r="R36" s="52">
        <f t="shared" si="18"/>
        <v>100</v>
      </c>
      <c r="S36" s="52">
        <f t="shared" si="18"/>
        <v>100</v>
      </c>
      <c r="T36" s="52">
        <f t="shared" si="18"/>
        <v>3</v>
      </c>
      <c r="U36" s="52" t="str">
        <f t="shared" si="18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0" t="str">
        <f t="shared" si="17"/>
        <v>2402:3a80:1fff:11::d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9"/>
        <v>INVIHR11AMB1SAEU01NK</v>
      </c>
      <c r="C37" s="376"/>
      <c r="D37" s="72" t="s">
        <v>601</v>
      </c>
      <c r="E37" s="205">
        <f>MG1VPRNs!E37</f>
        <v>1320</v>
      </c>
      <c r="F37" s="159" t="s">
        <v>830</v>
      </c>
      <c r="G37" s="56" t="s">
        <v>36</v>
      </c>
      <c r="H37" s="56" t="str">
        <f t="shared" si="15"/>
        <v>NA</v>
      </c>
      <c r="I37" s="159" t="s">
        <v>836</v>
      </c>
      <c r="J37" s="159" t="s">
        <v>837</v>
      </c>
      <c r="K37" s="129" t="s">
        <v>36</v>
      </c>
      <c r="L37" s="244" t="s">
        <v>36</v>
      </c>
      <c r="M37" s="132" t="s">
        <v>36</v>
      </c>
      <c r="N37" s="72" t="str">
        <f t="shared" si="21"/>
        <v>Physical4</v>
      </c>
      <c r="O37" s="56"/>
      <c r="P37" s="52" t="str">
        <f t="shared" si="16"/>
        <v>TO-NAT-Redirect-MG8-PORT-1-To-LEAF2</v>
      </c>
      <c r="Q37" s="12" t="s">
        <v>36</v>
      </c>
      <c r="R37" s="52">
        <f t="shared" si="18"/>
        <v>100</v>
      </c>
      <c r="S37" s="52">
        <f t="shared" si="18"/>
        <v>100</v>
      </c>
      <c r="T37" s="52">
        <f t="shared" si="18"/>
        <v>3</v>
      </c>
      <c r="U37" s="52" t="str">
        <f t="shared" si="18"/>
        <v>Static</v>
      </c>
      <c r="V37" s="253" t="s">
        <v>36</v>
      </c>
      <c r="W37" s="253" t="s">
        <v>36</v>
      </c>
      <c r="X37" s="208" t="str">
        <f t="shared" ref="X37:X38" si="22">X36</f>
        <v>2402:3a80:1fff:3f::/96</v>
      </c>
      <c r="Y37" s="10" t="str">
        <f t="shared" si="17"/>
        <v>2402:3a80:1fff:12::d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9"/>
        <v>INVIHR11AMB1SAEU01NK</v>
      </c>
      <c r="C38" s="376"/>
      <c r="D38" s="72" t="s">
        <v>602</v>
      </c>
      <c r="E38" s="205">
        <f>MG1VPRNs!E38</f>
        <v>1330</v>
      </c>
      <c r="F38" s="159" t="s">
        <v>831</v>
      </c>
      <c r="G38" s="56" t="s">
        <v>36</v>
      </c>
      <c r="H38" s="56" t="str">
        <f t="shared" si="15"/>
        <v>NA</v>
      </c>
      <c r="I38" s="159" t="s">
        <v>838</v>
      </c>
      <c r="J38" s="159" t="s">
        <v>839</v>
      </c>
      <c r="K38" s="129" t="s">
        <v>36</v>
      </c>
      <c r="L38" s="244" t="s">
        <v>36</v>
      </c>
      <c r="M38" s="132" t="s">
        <v>36</v>
      </c>
      <c r="N38" s="72" t="str">
        <f t="shared" si="21"/>
        <v>Physical4</v>
      </c>
      <c r="O38" s="56"/>
      <c r="P38" s="52" t="str">
        <f t="shared" si="16"/>
        <v>TO-NAT-Redirect-MG8-PORT-2-To-LEAF2</v>
      </c>
      <c r="Q38" s="12" t="s">
        <v>36</v>
      </c>
      <c r="R38" s="52">
        <f t="shared" si="18"/>
        <v>100</v>
      </c>
      <c r="S38" s="52">
        <f t="shared" si="18"/>
        <v>100</v>
      </c>
      <c r="T38" s="52">
        <f t="shared" si="18"/>
        <v>3</v>
      </c>
      <c r="U38" s="52" t="str">
        <f t="shared" si="18"/>
        <v>Static</v>
      </c>
      <c r="V38" s="253" t="s">
        <v>36</v>
      </c>
      <c r="W38" s="253" t="s">
        <v>36</v>
      </c>
      <c r="X38" s="208" t="str">
        <f t="shared" si="22"/>
        <v>2402:3a80:1fff:3f::/96</v>
      </c>
      <c r="Y38" s="10" t="str">
        <f t="shared" si="17"/>
        <v>2402:3a80:1fff:13::d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840</v>
      </c>
      <c r="G39" s="56" t="s">
        <v>36</v>
      </c>
      <c r="H39" s="56" t="str">
        <f t="shared" si="15"/>
        <v>NA</v>
      </c>
      <c r="I39" s="159" t="s">
        <v>842</v>
      </c>
      <c r="J39" s="56"/>
      <c r="K39" s="156"/>
      <c r="L39" s="244" t="s">
        <v>36</v>
      </c>
      <c r="M39" s="228"/>
      <c r="N39" s="72" t="s">
        <v>72</v>
      </c>
      <c r="O39" s="156" t="s">
        <v>83</v>
      </c>
      <c r="P39" s="52" t="str">
        <f>F39</f>
        <v>NAT-IPv6-MG-GRP-3-lo1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9"/>
        <v>INVIHR11AMB1SAEU01NK</v>
      </c>
      <c r="C40" s="376"/>
      <c r="D40" s="56"/>
      <c r="E40" s="56"/>
      <c r="F40" s="159" t="s">
        <v>841</v>
      </c>
      <c r="G40" s="56" t="s">
        <v>36</v>
      </c>
      <c r="H40" s="56" t="str">
        <f t="shared" si="15"/>
        <v>NA</v>
      </c>
      <c r="I40" s="159" t="s">
        <v>843</v>
      </c>
      <c r="J40" s="56"/>
      <c r="K40" s="156"/>
      <c r="L40" s="244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NAT-IPv6-MG-GRP-3-lo2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9"/>
        <v>INVIHR11AMB1SAEU01NK</v>
      </c>
      <c r="C41" s="376"/>
      <c r="D41" s="84"/>
      <c r="E41" s="84"/>
      <c r="F41" s="203" t="s">
        <v>620</v>
      </c>
      <c r="G41" s="207" t="str">
        <f>'[2]External Interfaces'!$H$57</f>
        <v>10.10.0.0/16</v>
      </c>
      <c r="H41" s="84" t="s">
        <v>36</v>
      </c>
      <c r="I41" s="207" t="str">
        <f>'[2]External Interfaces'!$I$57</f>
        <v>2402:3a80:13a4::/47</v>
      </c>
      <c r="J41" s="206" t="s">
        <v>36</v>
      </c>
      <c r="K41" s="157"/>
      <c r="L41" s="244" t="s">
        <v>36</v>
      </c>
      <c r="M41" s="243"/>
      <c r="N41" s="85" t="str">
        <f>N40</f>
        <v>Loopback4</v>
      </c>
      <c r="O41" s="157" t="s">
        <v>84</v>
      </c>
      <c r="P41" s="73" t="str">
        <f>F41</f>
        <v>www-pool3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prefix_vprn1303</v>
      </c>
      <c r="AB41" s="84" t="str">
        <f>AB31</f>
        <v>vprn1303_export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88" t="s">
        <v>599</v>
      </c>
      <c r="E43" s="77">
        <f>MG1VPRNs!E43</f>
        <v>1400</v>
      </c>
      <c r="F43" s="194" t="s">
        <v>844</v>
      </c>
      <c r="G43" s="73" t="s">
        <v>36</v>
      </c>
      <c r="H43" s="73" t="str">
        <f t="shared" ref="H43:H46" si="23">G43</f>
        <v>NA</v>
      </c>
      <c r="I43" s="194" t="s">
        <v>848</v>
      </c>
      <c r="J43" s="194" t="s">
        <v>849</v>
      </c>
      <c r="K43" s="194">
        <v>1403</v>
      </c>
      <c r="L43" s="244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IPv6-1403-MG7-to-WBX-1-To-1303</v>
      </c>
      <c r="Q43" s="162">
        <v>1403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 t="str">
        <f>I41</f>
        <v>2402:3a80:13a4::/47</v>
      </c>
      <c r="Y43" s="18" t="str">
        <f>LEFT(J43,FIND("/",J43)-1)</f>
        <v>2402:3a80:1fff:14::d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72" t="s">
        <v>600</v>
      </c>
      <c r="E44" s="77">
        <f>MG1VPRNs!E44</f>
        <v>1410</v>
      </c>
      <c r="F44" s="159" t="s">
        <v>845</v>
      </c>
      <c r="G44" s="56" t="s">
        <v>36</v>
      </c>
      <c r="H44" s="56" t="str">
        <f t="shared" si="23"/>
        <v>NA</v>
      </c>
      <c r="I44" s="159" t="s">
        <v>850</v>
      </c>
      <c r="J44" s="159" t="s">
        <v>851</v>
      </c>
      <c r="K44" s="194">
        <v>1403</v>
      </c>
      <c r="L44" s="244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IPv6-1403-MG7-to-WBX-2-To-1303</v>
      </c>
      <c r="Q44" s="12" t="s">
        <v>36</v>
      </c>
      <c r="R44" s="52">
        <f t="shared" ref="R44:T46" si="24">R43</f>
        <v>100</v>
      </c>
      <c r="S44" s="52">
        <f t="shared" si="24"/>
        <v>100</v>
      </c>
      <c r="T44" s="52">
        <f t="shared" si="24"/>
        <v>3</v>
      </c>
      <c r="U44" s="52" t="str">
        <f>U43</f>
        <v>Static</v>
      </c>
      <c r="V44" s="253" t="s">
        <v>36</v>
      </c>
      <c r="W44" s="253" t="s">
        <v>36</v>
      </c>
      <c r="X44" s="10" t="str">
        <f>X43</f>
        <v>2402:3a80:13a4::/47</v>
      </c>
      <c r="Y44" s="10" t="str">
        <f>LEFT(J44,FIND("/",J44)-1)</f>
        <v>2402:3a80:1fff:15::d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5">B44</f>
        <v>INVIHR11AMB1SAEU01NK</v>
      </c>
      <c r="C45" s="376"/>
      <c r="D45" s="72" t="s">
        <v>601</v>
      </c>
      <c r="E45" s="77">
        <f>MG1VPRNs!E45</f>
        <v>1420</v>
      </c>
      <c r="F45" s="159" t="s">
        <v>846</v>
      </c>
      <c r="G45" s="56" t="s">
        <v>36</v>
      </c>
      <c r="H45" s="56" t="str">
        <f t="shared" si="23"/>
        <v>NA</v>
      </c>
      <c r="I45" s="159" t="s">
        <v>852</v>
      </c>
      <c r="J45" s="159" t="s">
        <v>853</v>
      </c>
      <c r="K45" s="194">
        <v>1403</v>
      </c>
      <c r="L45" s="244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IPv6-1403-MG8-to-WBX-1-To-1303</v>
      </c>
      <c r="Q45" s="12" t="s">
        <v>36</v>
      </c>
      <c r="R45" s="52">
        <f t="shared" si="24"/>
        <v>100</v>
      </c>
      <c r="S45" s="52">
        <f t="shared" si="24"/>
        <v>100</v>
      </c>
      <c r="T45" s="52">
        <f t="shared" si="24"/>
        <v>3</v>
      </c>
      <c r="U45" s="52" t="str">
        <f>U44</f>
        <v>Static</v>
      </c>
      <c r="V45" s="253" t="s">
        <v>36</v>
      </c>
      <c r="W45" s="253" t="s">
        <v>36</v>
      </c>
      <c r="X45" s="10" t="str">
        <f t="shared" ref="X45:X46" si="26">X44</f>
        <v>2402:3a80:13a4::/47</v>
      </c>
      <c r="Y45" s="10" t="str">
        <f>LEFT(J45,FIND("/",J45)-1)</f>
        <v>2402:3a80:1fff:16::d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5"/>
        <v>INVIHR11AMB1SAEU01NK</v>
      </c>
      <c r="C46" s="376"/>
      <c r="D46" s="85" t="s">
        <v>602</v>
      </c>
      <c r="E46" s="210">
        <f>MG1VPRNs!E46</f>
        <v>1430</v>
      </c>
      <c r="F46" s="203" t="s">
        <v>847</v>
      </c>
      <c r="G46" s="84" t="s">
        <v>36</v>
      </c>
      <c r="H46" s="84" t="str">
        <f t="shared" si="23"/>
        <v>NA</v>
      </c>
      <c r="I46" s="203" t="s">
        <v>854</v>
      </c>
      <c r="J46" s="203" t="s">
        <v>855</v>
      </c>
      <c r="K46" s="194">
        <v>1403</v>
      </c>
      <c r="L46" s="244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IPv6-1403-MG8-to-WBX-2-To-1303</v>
      </c>
      <c r="Q46" s="14" t="s">
        <v>36</v>
      </c>
      <c r="R46" s="87">
        <f t="shared" si="24"/>
        <v>100</v>
      </c>
      <c r="S46" s="87">
        <f t="shared" si="24"/>
        <v>100</v>
      </c>
      <c r="T46" s="87">
        <f t="shared" si="24"/>
        <v>3</v>
      </c>
      <c r="U46" s="87" t="str">
        <f>U45</f>
        <v>Static</v>
      </c>
      <c r="V46" s="145" t="s">
        <v>36</v>
      </c>
      <c r="W46" s="145" t="s">
        <v>36</v>
      </c>
      <c r="X46" s="10" t="str">
        <f t="shared" si="26"/>
        <v>2402:3a80:13a4::/47</v>
      </c>
      <c r="Y46" s="202" t="str">
        <f>LEFT(J46,FIND("/",J46)-1)</f>
        <v>2402:3a80:1fff:17::d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71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O8:O29 O39:O41" xr:uid="{5F78FA0A-E046-4340-A1F5-703D5DCF0A42}">
      <formula1>$O$1:$O$2</formula1>
    </dataValidation>
    <dataValidation type="list" allowBlank="1" showInputMessage="1" showErrorMessage="1" sqref="AC8:AC29 AC31:AC41 AC43:AC46" xr:uid="{8AB56A12-2C3B-4E3D-93F3-A206B9CDDEDE}">
      <formula1>$AC$1:$AC$3</formula1>
    </dataValidation>
    <dataValidation type="list" allowBlank="1" showInputMessage="1" showErrorMessage="1" sqref="U8:U29 U31:U40 U43:U46" xr:uid="{E343355D-F65F-412C-8735-74BD7995E1AA}">
      <formula1>$U$1:$U$3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31282-7349-466C-9555-088C3F6F96DB}">
  <sheetPr codeName="Sheet24"/>
  <dimension ref="A1:AI47"/>
  <sheetViews>
    <sheetView topLeftCell="W21" workbookViewId="0">
      <selection activeCell="AG31" sqref="AG3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6.109375" bestFit="1" customWidth="1"/>
    <col min="5" max="5" width="6.5546875" bestFit="1" customWidth="1"/>
    <col min="6" max="6" width="29.6640625" bestFit="1" customWidth="1"/>
    <col min="7" max="7" width="17" customWidth="1"/>
    <col min="8" max="8" width="20.88671875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1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MG1VPRNs!B8</f>
        <v>INVIHR11AMB1SAEU01NK</v>
      </c>
      <c r="C8" s="352" t="s">
        <v>217</v>
      </c>
      <c r="D8" s="172" t="s">
        <v>603</v>
      </c>
      <c r="E8" s="11">
        <f>MG1VPRNs!E8</f>
        <v>1106</v>
      </c>
      <c r="F8" s="156" t="s">
        <v>357</v>
      </c>
      <c r="G8" s="163" t="s">
        <v>248</v>
      </c>
      <c r="H8" s="163" t="s">
        <v>210</v>
      </c>
      <c r="I8" s="159" t="s">
        <v>678</v>
      </c>
      <c r="J8" s="159" t="s">
        <v>623</v>
      </c>
      <c r="K8" s="129" t="s">
        <v>36</v>
      </c>
      <c r="L8" s="244" t="s">
        <v>36</v>
      </c>
      <c r="M8" s="132">
        <v>1600</v>
      </c>
      <c r="N8" s="72" t="s">
        <v>64</v>
      </c>
      <c r="O8" s="74"/>
      <c r="P8" s="52" t="str">
        <f>""&amp;F8&amp;"-To-LEAF1"</f>
        <v>UP-CORE-MG9-PORT-1-To-LEAF1</v>
      </c>
      <c r="Q8" s="162">
        <v>104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prefix_vprn104</v>
      </c>
      <c r="AB8" s="74" t="str">
        <f>"vprn"&amp;Q8&amp;"_export"</f>
        <v>vprn104_export</v>
      </c>
      <c r="AC8" s="74"/>
      <c r="AD8" s="74" t="str">
        <f>LEFT(G12,FIND("/",G12)-1)</f>
        <v>192.168.3.13</v>
      </c>
      <c r="AE8" s="74" t="str">
        <f>LEFT(G13,FIND("/",G13)-1)</f>
        <v>192.168.3.15</v>
      </c>
      <c r="AF8" s="74" t="str">
        <f>LEFT(I12,FIND("/",I12)-1)</f>
        <v>2402:3a80:1fff:9::59</v>
      </c>
      <c r="AG8" s="74" t="str">
        <f>LEFT(I13,FIND("/",I13)-1)</f>
        <v>2402:3a80:1fff:9::5b</v>
      </c>
      <c r="AH8" s="161">
        <v>100</v>
      </c>
      <c r="AI8" s="73" t="str">
        <f>"vprn"&amp;AH8&amp;"_import"</f>
        <v>vprn100_import</v>
      </c>
    </row>
    <row r="9" spans="1:35">
      <c r="A9" s="56"/>
      <c r="B9" s="56" t="str">
        <f>B8</f>
        <v>INVIHR11AMB1SAEU01NK</v>
      </c>
      <c r="C9" s="352"/>
      <c r="D9" s="173" t="s">
        <v>604</v>
      </c>
      <c r="E9" s="11">
        <f>MG1VPRNs!E9</f>
        <v>1116</v>
      </c>
      <c r="F9" s="156" t="s">
        <v>358</v>
      </c>
      <c r="G9" s="163" t="s">
        <v>249</v>
      </c>
      <c r="H9" s="163" t="s">
        <v>212</v>
      </c>
      <c r="I9" s="159" t="s">
        <v>679</v>
      </c>
      <c r="J9" s="159" t="s">
        <v>625</v>
      </c>
      <c r="K9" s="129" t="s">
        <v>36</v>
      </c>
      <c r="L9" s="244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UP-CORE-MG9-PORT-2-To-LEAF2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>
      <c r="A10" s="56"/>
      <c r="B10" s="56" t="str">
        <f t="shared" ref="B10:B14" si="1">B9</f>
        <v>INVIHR11AMB1SAEU01NK</v>
      </c>
      <c r="C10" s="352"/>
      <c r="D10" s="173" t="s">
        <v>605</v>
      </c>
      <c r="E10" s="11">
        <f>MG1VPRNs!E10</f>
        <v>1126</v>
      </c>
      <c r="F10" s="156" t="s">
        <v>359</v>
      </c>
      <c r="G10" s="163" t="s">
        <v>250</v>
      </c>
      <c r="H10" s="163" t="s">
        <v>214</v>
      </c>
      <c r="I10" s="159" t="s">
        <v>680</v>
      </c>
      <c r="J10" s="159" t="s">
        <v>627</v>
      </c>
      <c r="K10" s="129" t="s">
        <v>36</v>
      </c>
      <c r="L10" s="244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UP-CORE-MG10-PORT-1-To-LEAF1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15" thickBot="1">
      <c r="A11" s="56"/>
      <c r="B11" s="56" t="str">
        <f t="shared" si="1"/>
        <v>INVIHR11AMB1SAEU01NK</v>
      </c>
      <c r="C11" s="352"/>
      <c r="D11" s="173" t="s">
        <v>606</v>
      </c>
      <c r="E11" s="11">
        <f>MG1VPRNs!E11</f>
        <v>1136</v>
      </c>
      <c r="F11" s="156" t="s">
        <v>360</v>
      </c>
      <c r="G11" s="163" t="s">
        <v>251</v>
      </c>
      <c r="H11" s="163" t="s">
        <v>216</v>
      </c>
      <c r="I11" s="159" t="s">
        <v>681</v>
      </c>
      <c r="J11" s="159" t="s">
        <v>629</v>
      </c>
      <c r="K11" s="129" t="s">
        <v>36</v>
      </c>
      <c r="L11" s="244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UP-CORE-MG10-PORT-2-To-LEAF2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351</v>
      </c>
      <c r="G12" s="131" t="s">
        <v>258</v>
      </c>
      <c r="H12" s="79"/>
      <c r="I12" s="159" t="s">
        <v>676</v>
      </c>
      <c r="J12" s="56" t="s">
        <v>36</v>
      </c>
      <c r="K12" s="167"/>
      <c r="L12" s="244" t="s">
        <v>36</v>
      </c>
      <c r="M12" s="242"/>
      <c r="N12" s="72" t="s">
        <v>68</v>
      </c>
      <c r="O12" s="157" t="s">
        <v>83</v>
      </c>
      <c r="P12" s="52" t="str">
        <f>F12</f>
        <v>UP-CORE-MG-GRP-4-lo1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352</v>
      </c>
      <c r="G13" s="131" t="s">
        <v>259</v>
      </c>
      <c r="H13" s="79"/>
      <c r="I13" s="159" t="s">
        <v>677</v>
      </c>
      <c r="J13" s="56" t="s">
        <v>36</v>
      </c>
      <c r="K13" s="167"/>
      <c r="L13" s="244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UP-CORE-MG-GRP-4-lo2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318</v>
      </c>
      <c r="G14" s="212" t="str">
        <f>'[2]External Interfaces'!$L$13</f>
        <v>203.88.25.6/32</v>
      </c>
      <c r="H14" s="81"/>
      <c r="I14" s="75" t="str">
        <f>'[2]External Interfaces'!$M$13</f>
        <v>2402:8100:12::111/128</v>
      </c>
      <c r="J14" s="56" t="s">
        <v>36</v>
      </c>
      <c r="K14" s="156"/>
      <c r="L14" s="133" t="s">
        <v>982</v>
      </c>
      <c r="M14" s="227"/>
      <c r="N14" s="72" t="str">
        <f>N12</f>
        <v>Loopback1</v>
      </c>
      <c r="O14" s="157" t="s">
        <v>83</v>
      </c>
      <c r="P14" s="52" t="str">
        <f>F14</f>
        <v>UP-CORE-MG-GRP-4-S1u-SGW_S5-lo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prefix_vprn104</v>
      </c>
      <c r="AB14" s="56" t="str">
        <f>AB8</f>
        <v>vprn104_export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263</v>
      </c>
      <c r="G15" s="83" t="str">
        <f>'[2]External Interfaces'!$L$22</f>
        <v>203.88.25.10/32</v>
      </c>
      <c r="H15" s="81"/>
      <c r="I15" s="207" t="str">
        <f>'[2]External Interfaces'!$M$22</f>
        <v>2402:8100:12::11a/128</v>
      </c>
      <c r="J15" s="84" t="s">
        <v>36</v>
      </c>
      <c r="K15" s="157"/>
      <c r="L15" s="133" t="s">
        <v>983</v>
      </c>
      <c r="M15" s="240"/>
      <c r="N15" s="85" t="str">
        <f>N13</f>
        <v>Loopback1</v>
      </c>
      <c r="O15" s="157" t="s">
        <v>83</v>
      </c>
      <c r="P15" s="52" t="str">
        <f>F15</f>
        <v>UP-CORE-MG-GRP-4-PGW_S5-S8-lo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prefix_vprn104</v>
      </c>
      <c r="AB15" s="87" t="str">
        <f>AB8</f>
        <v>vprn104_export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172" t="s">
        <v>603</v>
      </c>
      <c r="E17" s="28">
        <f>MG1VPRNs!E17</f>
        <v>1107</v>
      </c>
      <c r="F17" s="161" t="s">
        <v>345</v>
      </c>
      <c r="G17" s="163" t="s">
        <v>276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44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UP-INTERNET-MG9-PORT-1-To-LEAF1</v>
      </c>
      <c r="Q17" s="162">
        <v>204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prefix_vprn204</v>
      </c>
      <c r="AB17" s="74" t="str">
        <f>"vprn"&amp;Q17&amp;"_export"</f>
        <v>vprn204_export</v>
      </c>
      <c r="AC17" s="74"/>
      <c r="AD17" s="74" t="str">
        <f>LEFT(G21,FIND("/",G21)-1)</f>
        <v>192.168.3.51</v>
      </c>
      <c r="AE17" s="74" t="str">
        <f>LEFT(G22,FIND("/",G22)-1)</f>
        <v>192.168.3.53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173" t="s">
        <v>604</v>
      </c>
      <c r="E18" s="11">
        <f>MG1VPRNs!E18</f>
        <v>1117</v>
      </c>
      <c r="F18" s="156" t="s">
        <v>346</v>
      </c>
      <c r="G18" s="163" t="s">
        <v>277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44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UP-INTERNET-MG9-PORT-2-To-LEAF2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>
      <c r="A19" s="56"/>
      <c r="B19" s="56" t="str">
        <f t="shared" ref="B19:B22" si="7">B18</f>
        <v>INVIHR11AMB1SAEU01NK</v>
      </c>
      <c r="C19" s="378"/>
      <c r="D19" s="173" t="s">
        <v>605</v>
      </c>
      <c r="E19" s="11">
        <f>MG1VPRNs!E19</f>
        <v>1127</v>
      </c>
      <c r="F19" s="156" t="s">
        <v>347</v>
      </c>
      <c r="G19" s="163" t="s">
        <v>278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44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UP-INTERNET-MG10-PORT-1-To-LEAF1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>
      <c r="A20" s="56"/>
      <c r="B20" s="56" t="str">
        <f t="shared" si="7"/>
        <v>INVIHR11AMB1SAEU01NK</v>
      </c>
      <c r="C20" s="378"/>
      <c r="D20" s="173" t="s">
        <v>606</v>
      </c>
      <c r="E20" s="11">
        <f>MG1VPRNs!E20</f>
        <v>1137</v>
      </c>
      <c r="F20" s="156" t="s">
        <v>348</v>
      </c>
      <c r="G20" s="163" t="s">
        <v>279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44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UP-INTERNET-MG10-PORT-2-To-LEAF2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339</v>
      </c>
      <c r="G21" s="131" t="s">
        <v>286</v>
      </c>
      <c r="H21" s="79"/>
      <c r="I21" s="76" t="s">
        <v>36</v>
      </c>
      <c r="J21" s="211" t="s">
        <v>36</v>
      </c>
      <c r="K21" s="157"/>
      <c r="L21" s="244" t="s">
        <v>36</v>
      </c>
      <c r="M21" s="228"/>
      <c r="N21" s="72" t="s">
        <v>69</v>
      </c>
      <c r="O21" s="157" t="s">
        <v>83</v>
      </c>
      <c r="P21" s="52" t="str">
        <f>F21</f>
        <v>UP-INTERNET-MG-GRP-4-lo1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9"/>
      <c r="E22" s="79"/>
      <c r="F22" s="156" t="s">
        <v>341</v>
      </c>
      <c r="G22" s="131" t="s">
        <v>287</v>
      </c>
      <c r="H22" s="79"/>
      <c r="I22" s="76" t="s">
        <v>36</v>
      </c>
      <c r="J22" s="211" t="s">
        <v>36</v>
      </c>
      <c r="K22" s="157"/>
      <c r="L22" s="244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UP-INTERNET-MG-GRP-4-lo2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172" t="s">
        <v>603</v>
      </c>
      <c r="E24" s="28">
        <f>MG1VPRNs!E24</f>
        <v>1108</v>
      </c>
      <c r="F24" s="161" t="s">
        <v>904</v>
      </c>
      <c r="G24" s="163" t="s">
        <v>300</v>
      </c>
      <c r="H24" s="163" t="s">
        <v>229</v>
      </c>
      <c r="I24" s="169" t="s">
        <v>670</v>
      </c>
      <c r="J24" s="170" t="s">
        <v>637</v>
      </c>
      <c r="K24" s="129" t="s">
        <v>36</v>
      </c>
      <c r="L24" s="244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UP-IMS-MG9-PORT-1-To-LEAF2</v>
      </c>
      <c r="Q24" s="162">
        <v>304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prefix_vprn304</v>
      </c>
      <c r="AB24" s="74" t="str">
        <f>"vprn"&amp;Q24&amp;"_export"</f>
        <v>vprn304_export</v>
      </c>
      <c r="AC24" s="74"/>
      <c r="AD24" s="74" t="str">
        <f>LEFT(G28,FIND("/",G28)-1)</f>
        <v>192.168.3.87</v>
      </c>
      <c r="AE24" s="74" t="str">
        <f>LEFT(G29,FIND("/",G29)-1)</f>
        <v>192.168.3.89</v>
      </c>
      <c r="AF24" s="74" t="str">
        <f>LEFT(I28,FIND("/",I28)-1)</f>
        <v>2402:3a80:1fff:9::34</v>
      </c>
      <c r="AG24" s="74" t="str">
        <f>LEFT(I29,FIND("/",I29)-1)</f>
        <v>2402:3a80:1fff:9::36</v>
      </c>
      <c r="AH24" s="161">
        <v>300</v>
      </c>
      <c r="AI24" s="73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173" t="s">
        <v>604</v>
      </c>
      <c r="E25" s="11">
        <f>MG1VPRNs!E25</f>
        <v>1118</v>
      </c>
      <c r="F25" s="156" t="s">
        <v>905</v>
      </c>
      <c r="G25" s="163" t="s">
        <v>301</v>
      </c>
      <c r="H25" s="163" t="s">
        <v>231</v>
      </c>
      <c r="I25" s="164" t="s">
        <v>671</v>
      </c>
      <c r="J25" s="167" t="s">
        <v>639</v>
      </c>
      <c r="K25" s="129" t="s">
        <v>36</v>
      </c>
      <c r="L25" s="244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UP-IMS-MG9-PORT-2-To-LEAF2</v>
      </c>
      <c r="Q25" s="12" t="s">
        <v>36</v>
      </c>
      <c r="R25" s="52">
        <f t="shared" ref="R25:T27" si="10">R24</f>
        <v>100</v>
      </c>
      <c r="S25" s="52">
        <f t="shared" si="10"/>
        <v>100</v>
      </c>
      <c r="T25" s="52">
        <f t="shared" si="10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>
      <c r="A26" s="56"/>
      <c r="B26" s="56" t="str">
        <f t="shared" ref="B26:B29" si="11">B25</f>
        <v>INVIHR11AMB1SAEU01NK</v>
      </c>
      <c r="C26" s="378"/>
      <c r="D26" s="173" t="s">
        <v>605</v>
      </c>
      <c r="E26" s="11">
        <f>MG1VPRNs!E26</f>
        <v>1128</v>
      </c>
      <c r="F26" s="156" t="s">
        <v>906</v>
      </c>
      <c r="G26" s="163" t="s">
        <v>302</v>
      </c>
      <c r="H26" s="163" t="s">
        <v>233</v>
      </c>
      <c r="I26" s="164" t="s">
        <v>672</v>
      </c>
      <c r="J26" s="167" t="s">
        <v>641</v>
      </c>
      <c r="K26" s="129" t="s">
        <v>36</v>
      </c>
      <c r="L26" s="244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UP-IMS-MG10-PORT-1-To-LEAF2</v>
      </c>
      <c r="Q26" s="12" t="s">
        <v>36</v>
      </c>
      <c r="R26" s="52">
        <f t="shared" si="10"/>
        <v>100</v>
      </c>
      <c r="S26" s="52">
        <f t="shared" si="10"/>
        <v>100</v>
      </c>
      <c r="T26" s="52">
        <f t="shared" si="10"/>
        <v>3</v>
      </c>
      <c r="U26" s="52" t="str">
        <f>U25</f>
        <v>Static</v>
      </c>
      <c r="V26" s="52" t="str">
        <f t="shared" ref="V26:V27" si="12">V25</f>
        <v>0.0.0.0/0</v>
      </c>
      <c r="W26" s="254" t="str">
        <f>LEFT(H26,FIND("/",H26)-1)</f>
        <v>192.168.1.190</v>
      </c>
      <c r="X26" s="76" t="str">
        <f t="shared" ref="X26:X27" si="13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>
      <c r="A27" s="56"/>
      <c r="B27" s="56" t="str">
        <f t="shared" si="11"/>
        <v>INVIHR11AMB1SAEU01NK</v>
      </c>
      <c r="C27" s="378"/>
      <c r="D27" s="173" t="s">
        <v>606</v>
      </c>
      <c r="E27" s="11">
        <f>MG1VPRNs!E27</f>
        <v>1138</v>
      </c>
      <c r="F27" s="156" t="s">
        <v>907</v>
      </c>
      <c r="G27" s="163" t="s">
        <v>303</v>
      </c>
      <c r="H27" s="163" t="s">
        <v>235</v>
      </c>
      <c r="I27" s="165" t="s">
        <v>673</v>
      </c>
      <c r="J27" s="168" t="s">
        <v>643</v>
      </c>
      <c r="K27" s="129" t="s">
        <v>36</v>
      </c>
      <c r="L27" s="244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UP-IMS-MG10-PORT-2-To-LEAF2</v>
      </c>
      <c r="Q27" s="12" t="s">
        <v>36</v>
      </c>
      <c r="R27" s="52">
        <f t="shared" si="10"/>
        <v>100</v>
      </c>
      <c r="S27" s="52">
        <f t="shared" si="10"/>
        <v>100</v>
      </c>
      <c r="T27" s="52">
        <f t="shared" si="10"/>
        <v>3</v>
      </c>
      <c r="U27" s="87" t="str">
        <f>U26</f>
        <v>Static</v>
      </c>
      <c r="V27" s="52" t="str">
        <f t="shared" si="12"/>
        <v>0.0.0.0/0</v>
      </c>
      <c r="W27" s="254" t="str">
        <f>LEFT(H27,FIND("/",H27)-1)</f>
        <v>192.168.2.190</v>
      </c>
      <c r="X27" s="76" t="str">
        <f t="shared" si="13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1"/>
        <v>INVIHR11AMB1SAEU01NK</v>
      </c>
      <c r="C28" s="378"/>
      <c r="D28" s="27"/>
      <c r="E28" s="56"/>
      <c r="F28" s="156" t="s">
        <v>908</v>
      </c>
      <c r="G28" s="131" t="s">
        <v>310</v>
      </c>
      <c r="H28" s="79"/>
      <c r="I28" s="156" t="s">
        <v>674</v>
      </c>
      <c r="J28" s="56" t="s">
        <v>36</v>
      </c>
      <c r="K28" s="157"/>
      <c r="L28" s="244" t="s">
        <v>36</v>
      </c>
      <c r="M28" s="228"/>
      <c r="N28" s="72" t="s">
        <v>70</v>
      </c>
      <c r="O28" s="157" t="s">
        <v>83</v>
      </c>
      <c r="P28" s="52" t="str">
        <f>F28</f>
        <v>UP-IMS-MG-GRP-4-lo1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1"/>
        <v>INVIHR11AMB1SAEU01NK</v>
      </c>
      <c r="C29" s="378"/>
      <c r="D29" s="29"/>
      <c r="E29" s="56"/>
      <c r="F29" s="156" t="s">
        <v>909</v>
      </c>
      <c r="G29" s="131" t="s">
        <v>311</v>
      </c>
      <c r="H29" s="79"/>
      <c r="I29" s="156" t="s">
        <v>675</v>
      </c>
      <c r="J29" s="56" t="s">
        <v>36</v>
      </c>
      <c r="K29" s="157"/>
      <c r="L29" s="244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UP-IMS-MG-GRP-4-lo2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71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172" t="s">
        <v>603</v>
      </c>
      <c r="E31" s="204">
        <f>MG1VPRNs!E31</f>
        <v>1500</v>
      </c>
      <c r="F31" s="159" t="s">
        <v>884</v>
      </c>
      <c r="G31" s="73" t="s">
        <v>36</v>
      </c>
      <c r="H31" s="73" t="str">
        <f t="shared" ref="H31:H40" si="14">G31</f>
        <v>NA</v>
      </c>
      <c r="I31" s="159" t="s">
        <v>888</v>
      </c>
      <c r="J31" s="159" t="s">
        <v>691</v>
      </c>
      <c r="K31" s="129" t="s">
        <v>36</v>
      </c>
      <c r="L31" s="244" t="s">
        <v>36</v>
      </c>
      <c r="M31" s="132" t="s">
        <v>36</v>
      </c>
      <c r="N31" s="88" t="s">
        <v>67</v>
      </c>
      <c r="O31" s="73"/>
      <c r="P31" s="52" t="str">
        <f t="shared" ref="P31:P38" si="15">""&amp;F31&amp;"-To-LEAF2"</f>
        <v>Non-NAT-IPv6-MG9-PORT-1-To-LEAF2</v>
      </c>
      <c r="Q31" s="162">
        <v>1304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6">LEFT(J31,FIND("/",J31)-1)</f>
        <v>2402:3a80:1fff:5::1</v>
      </c>
      <c r="Z31" s="77">
        <f>Z24</f>
        <v>65010</v>
      </c>
      <c r="AA31" s="73" t="str">
        <f>"prefix_vprn"&amp;Q31&amp;""</f>
        <v>prefix_vprn1304</v>
      </c>
      <c r="AB31" s="74" t="str">
        <f>"vprn"&amp;Q31&amp;"_export"</f>
        <v>vprn1304_export</v>
      </c>
      <c r="AC31" s="74"/>
      <c r="AD31" s="74" t="s">
        <v>36</v>
      </c>
      <c r="AE31" s="74" t="s">
        <v>36</v>
      </c>
      <c r="AF31" s="74" t="str">
        <f>LEFT(I34,FIND("/",I34)-1)</f>
        <v>2402:3a80:1fff:8::6</v>
      </c>
      <c r="AG31" s="74" t="str">
        <f>LEFT(I39,FIND("/",I39)-1)</f>
        <v>2402:3a80:1fff:9::d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173" t="s">
        <v>604</v>
      </c>
      <c r="E32" s="204">
        <f>MG1VPRNs!E32</f>
        <v>1510</v>
      </c>
      <c r="F32" s="159" t="s">
        <v>885</v>
      </c>
      <c r="G32" s="56" t="s">
        <v>36</v>
      </c>
      <c r="H32" s="56" t="str">
        <f t="shared" si="14"/>
        <v>NA</v>
      </c>
      <c r="I32" s="159" t="s">
        <v>889</v>
      </c>
      <c r="J32" s="159" t="s">
        <v>693</v>
      </c>
      <c r="K32" s="129" t="s">
        <v>36</v>
      </c>
      <c r="L32" s="244" t="s">
        <v>36</v>
      </c>
      <c r="M32" s="132" t="s">
        <v>36</v>
      </c>
      <c r="N32" s="72" t="str">
        <f>N31</f>
        <v>Physical4</v>
      </c>
      <c r="O32" s="56"/>
      <c r="P32" s="52" t="str">
        <f t="shared" si="15"/>
        <v>Non-NAT-IPv6-MG9-PORT-2-To-LEAF2</v>
      </c>
      <c r="Q32" s="12" t="s">
        <v>36</v>
      </c>
      <c r="R32" s="52">
        <f t="shared" ref="R32:U38" si="17">R31</f>
        <v>100</v>
      </c>
      <c r="S32" s="52">
        <f t="shared" si="17"/>
        <v>100</v>
      </c>
      <c r="T32" s="52">
        <f t="shared" si="17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6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8">B32</f>
        <v>INVIHR11AMB1SAEU01NK</v>
      </c>
      <c r="C33" s="376"/>
      <c r="D33" s="173" t="s">
        <v>605</v>
      </c>
      <c r="E33" s="204">
        <f>MG1VPRNs!E33</f>
        <v>1520</v>
      </c>
      <c r="F33" s="159" t="s">
        <v>886</v>
      </c>
      <c r="G33" s="56" t="s">
        <v>36</v>
      </c>
      <c r="H33" s="56" t="str">
        <f t="shared" si="14"/>
        <v>NA</v>
      </c>
      <c r="I33" s="159" t="s">
        <v>890</v>
      </c>
      <c r="J33" s="159" t="s">
        <v>695</v>
      </c>
      <c r="K33" s="129" t="s">
        <v>36</v>
      </c>
      <c r="L33" s="244" t="s">
        <v>36</v>
      </c>
      <c r="M33" s="132" t="s">
        <v>36</v>
      </c>
      <c r="N33" s="72" t="str">
        <f>N31</f>
        <v>Physical4</v>
      </c>
      <c r="O33" s="56"/>
      <c r="P33" s="52" t="str">
        <f t="shared" si="15"/>
        <v>Non-NAT-IPv6-MG10-PORT-1-To-LEAF2</v>
      </c>
      <c r="Q33" s="12" t="s">
        <v>36</v>
      </c>
      <c r="R33" s="52">
        <f t="shared" si="17"/>
        <v>100</v>
      </c>
      <c r="S33" s="52">
        <f t="shared" si="17"/>
        <v>100</v>
      </c>
      <c r="T33" s="52">
        <f t="shared" si="17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19">X32</f>
        <v>::/0</v>
      </c>
      <c r="Y33" s="18" t="str">
        <f t="shared" si="16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8"/>
        <v>INVIHR11AMB1SAEU01NK</v>
      </c>
      <c r="C34" s="376"/>
      <c r="D34" s="173" t="s">
        <v>606</v>
      </c>
      <c r="E34" s="204">
        <f>MG1VPRNs!E34</f>
        <v>1530</v>
      </c>
      <c r="F34" s="159" t="s">
        <v>887</v>
      </c>
      <c r="G34" s="56" t="s">
        <v>36</v>
      </c>
      <c r="H34" s="56" t="str">
        <f t="shared" si="14"/>
        <v>NA</v>
      </c>
      <c r="I34" s="159" t="s">
        <v>891</v>
      </c>
      <c r="J34" s="159" t="s">
        <v>697</v>
      </c>
      <c r="K34" s="129" t="s">
        <v>36</v>
      </c>
      <c r="L34" s="244" t="s">
        <v>36</v>
      </c>
      <c r="M34" s="132" t="s">
        <v>36</v>
      </c>
      <c r="N34" s="72" t="str">
        <f>N31</f>
        <v>Physical4</v>
      </c>
      <c r="O34" s="56"/>
      <c r="P34" s="52" t="str">
        <f t="shared" si="15"/>
        <v>Non-NAT-IPv6-MG10-PORT-2-To-LEAF2</v>
      </c>
      <c r="Q34" s="12" t="s">
        <v>36</v>
      </c>
      <c r="R34" s="52">
        <f t="shared" si="17"/>
        <v>100</v>
      </c>
      <c r="S34" s="52">
        <f t="shared" si="17"/>
        <v>100</v>
      </c>
      <c r="T34" s="52">
        <f t="shared" si="17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19"/>
        <v>::/0</v>
      </c>
      <c r="Y34" s="18" t="str">
        <f t="shared" si="16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8"/>
        <v>INVIHR11AMB1SAEU01NK</v>
      </c>
      <c r="C35" s="376"/>
      <c r="D35" s="172" t="s">
        <v>603</v>
      </c>
      <c r="E35" s="205">
        <f>MG1VPRNs!E35</f>
        <v>1300</v>
      </c>
      <c r="F35" s="159" t="s">
        <v>860</v>
      </c>
      <c r="G35" s="56" t="s">
        <v>36</v>
      </c>
      <c r="H35" s="56" t="str">
        <f t="shared" si="14"/>
        <v>NA</v>
      </c>
      <c r="I35" s="159" t="s">
        <v>864</v>
      </c>
      <c r="J35" s="159" t="s">
        <v>865</v>
      </c>
      <c r="K35" s="129" t="s">
        <v>36</v>
      </c>
      <c r="L35" s="244" t="s">
        <v>36</v>
      </c>
      <c r="M35" s="132" t="s">
        <v>36</v>
      </c>
      <c r="N35" s="72" t="str">
        <f t="shared" ref="N35:N38" si="20">N32</f>
        <v>Physical4</v>
      </c>
      <c r="O35" s="56"/>
      <c r="P35" s="52" t="str">
        <f t="shared" si="15"/>
        <v>TO-NAT-Redirect-MG9-PORT-1-To-LEAF2</v>
      </c>
      <c r="Q35" s="12" t="s">
        <v>36</v>
      </c>
      <c r="R35" s="52">
        <f t="shared" si="17"/>
        <v>100</v>
      </c>
      <c r="S35" s="52">
        <f t="shared" si="17"/>
        <v>100</v>
      </c>
      <c r="T35" s="52">
        <f t="shared" si="17"/>
        <v>3</v>
      </c>
      <c r="U35" s="52" t="str">
        <f t="shared" si="17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6"/>
        <v>2402:3a80:1fff:10::11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8"/>
        <v>INVIHR11AMB1SAEU01NK</v>
      </c>
      <c r="C36" s="376"/>
      <c r="D36" s="173" t="s">
        <v>604</v>
      </c>
      <c r="E36" s="205">
        <f>MG1VPRNs!E36</f>
        <v>1310</v>
      </c>
      <c r="F36" s="159" t="s">
        <v>861</v>
      </c>
      <c r="G36" s="56" t="s">
        <v>36</v>
      </c>
      <c r="H36" s="56" t="str">
        <f t="shared" si="14"/>
        <v>NA</v>
      </c>
      <c r="I36" s="159" t="s">
        <v>866</v>
      </c>
      <c r="J36" s="159" t="s">
        <v>867</v>
      </c>
      <c r="K36" s="129" t="s">
        <v>36</v>
      </c>
      <c r="L36" s="244" t="s">
        <v>36</v>
      </c>
      <c r="M36" s="132" t="s">
        <v>36</v>
      </c>
      <c r="N36" s="72" t="str">
        <f t="shared" si="20"/>
        <v>Physical4</v>
      </c>
      <c r="O36" s="56"/>
      <c r="P36" s="52" t="str">
        <f t="shared" si="15"/>
        <v>TO-NAT-Redirect-MG9-PORT-2-To-LEAF2</v>
      </c>
      <c r="Q36" s="12" t="s">
        <v>36</v>
      </c>
      <c r="R36" s="52">
        <f t="shared" si="17"/>
        <v>100</v>
      </c>
      <c r="S36" s="52">
        <f t="shared" si="17"/>
        <v>100</v>
      </c>
      <c r="T36" s="52">
        <f t="shared" si="17"/>
        <v>3</v>
      </c>
      <c r="U36" s="52" t="str">
        <f t="shared" si="17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6"/>
        <v>2402:3a80:1fff:11::11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8"/>
        <v>INVIHR11AMB1SAEU01NK</v>
      </c>
      <c r="C37" s="376"/>
      <c r="D37" s="173" t="s">
        <v>605</v>
      </c>
      <c r="E37" s="205">
        <f>MG1VPRNs!E37</f>
        <v>1320</v>
      </c>
      <c r="F37" s="159" t="s">
        <v>862</v>
      </c>
      <c r="G37" s="56" t="s">
        <v>36</v>
      </c>
      <c r="H37" s="56" t="str">
        <f t="shared" si="14"/>
        <v>NA</v>
      </c>
      <c r="I37" s="159" t="s">
        <v>868</v>
      </c>
      <c r="J37" s="159" t="s">
        <v>869</v>
      </c>
      <c r="K37" s="129" t="s">
        <v>36</v>
      </c>
      <c r="L37" s="244" t="s">
        <v>36</v>
      </c>
      <c r="M37" s="132" t="s">
        <v>36</v>
      </c>
      <c r="N37" s="72" t="str">
        <f t="shared" si="20"/>
        <v>Physical4</v>
      </c>
      <c r="O37" s="56"/>
      <c r="P37" s="52" t="str">
        <f t="shared" si="15"/>
        <v>TO-NAT-Redirect-MG10-PORT-1-To-LEAF2</v>
      </c>
      <c r="Q37" s="12" t="s">
        <v>36</v>
      </c>
      <c r="R37" s="52">
        <f t="shared" si="17"/>
        <v>100</v>
      </c>
      <c r="S37" s="52">
        <f t="shared" si="17"/>
        <v>100</v>
      </c>
      <c r="T37" s="52">
        <f t="shared" si="17"/>
        <v>3</v>
      </c>
      <c r="U37" s="52" t="str">
        <f t="shared" si="17"/>
        <v>Static</v>
      </c>
      <c r="V37" s="253" t="s">
        <v>36</v>
      </c>
      <c r="W37" s="253" t="s">
        <v>36</v>
      </c>
      <c r="X37" s="208" t="str">
        <f t="shared" ref="X37:X38" si="21">X36</f>
        <v>2402:3a80:1fff:3f::/96</v>
      </c>
      <c r="Y37" s="18" t="str">
        <f t="shared" si="16"/>
        <v>2402:3a80:1fff:12::11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8"/>
        <v>INVIHR11AMB1SAEU01NK</v>
      </c>
      <c r="C38" s="376"/>
      <c r="D38" s="173" t="s">
        <v>606</v>
      </c>
      <c r="E38" s="205">
        <f>MG1VPRNs!E38</f>
        <v>1330</v>
      </c>
      <c r="F38" s="159" t="s">
        <v>863</v>
      </c>
      <c r="G38" s="56" t="s">
        <v>36</v>
      </c>
      <c r="H38" s="56" t="str">
        <f t="shared" si="14"/>
        <v>NA</v>
      </c>
      <c r="I38" s="159" t="s">
        <v>870</v>
      </c>
      <c r="J38" s="159" t="s">
        <v>871</v>
      </c>
      <c r="K38" s="129" t="s">
        <v>36</v>
      </c>
      <c r="L38" s="244" t="s">
        <v>36</v>
      </c>
      <c r="M38" s="132" t="s">
        <v>36</v>
      </c>
      <c r="N38" s="72" t="str">
        <f t="shared" si="20"/>
        <v>Physical4</v>
      </c>
      <c r="O38" s="56"/>
      <c r="P38" s="52" t="str">
        <f t="shared" si="15"/>
        <v>TO-NAT-Redirect-MG10-PORT-2-To-LEAF2</v>
      </c>
      <c r="Q38" s="12" t="s">
        <v>36</v>
      </c>
      <c r="R38" s="52">
        <f t="shared" si="17"/>
        <v>100</v>
      </c>
      <c r="S38" s="52">
        <f t="shared" si="17"/>
        <v>100</v>
      </c>
      <c r="T38" s="52">
        <f t="shared" si="17"/>
        <v>3</v>
      </c>
      <c r="U38" s="52" t="str">
        <f t="shared" si="17"/>
        <v>Static</v>
      </c>
      <c r="V38" s="253" t="s">
        <v>36</v>
      </c>
      <c r="W38" s="253" t="s">
        <v>36</v>
      </c>
      <c r="X38" s="208" t="str">
        <f t="shared" si="21"/>
        <v>2402:3a80:1fff:3f::/96</v>
      </c>
      <c r="Y38" s="18" t="str">
        <f t="shared" si="16"/>
        <v>2402:3a80:1fff:13::11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880</v>
      </c>
      <c r="G39" s="56" t="s">
        <v>36</v>
      </c>
      <c r="H39" s="56" t="str">
        <f t="shared" si="14"/>
        <v>NA</v>
      </c>
      <c r="I39" s="159" t="s">
        <v>882</v>
      </c>
      <c r="J39" s="56"/>
      <c r="K39" s="156"/>
      <c r="L39" s="244" t="s">
        <v>36</v>
      </c>
      <c r="M39" s="228"/>
      <c r="N39" s="72" t="s">
        <v>72</v>
      </c>
      <c r="O39" s="156" t="s">
        <v>83</v>
      </c>
      <c r="P39" s="52" t="str">
        <f>F39</f>
        <v>NAT-IPv6-MG-GRP-4-lo1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8"/>
        <v>INVIHR11AMB1SAEU01NK</v>
      </c>
      <c r="C40" s="376"/>
      <c r="D40" s="56"/>
      <c r="E40" s="56"/>
      <c r="F40" s="159" t="s">
        <v>881</v>
      </c>
      <c r="G40" s="56" t="s">
        <v>36</v>
      </c>
      <c r="H40" s="56" t="str">
        <f t="shared" si="14"/>
        <v>NA</v>
      </c>
      <c r="I40" s="159" t="s">
        <v>883</v>
      </c>
      <c r="J40" s="56"/>
      <c r="K40" s="156"/>
      <c r="L40" s="244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NAT-IPv6-MG-GRP-4-lo2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8"/>
        <v>INVIHR11AMB1SAEU01NK</v>
      </c>
      <c r="C41" s="376"/>
      <c r="D41" s="84"/>
      <c r="E41" s="84"/>
      <c r="F41" s="203" t="s">
        <v>621</v>
      </c>
      <c r="G41" s="207" t="str">
        <f>'[2]External Interfaces'!$H$59</f>
        <v>10.11.0.0/16</v>
      </c>
      <c r="H41" s="84" t="s">
        <v>36</v>
      </c>
      <c r="I41" s="207" t="str">
        <f>'[2]External Interfaces'!$I$59</f>
        <v>2402:3a80:13a6::/47</v>
      </c>
      <c r="J41" s="84"/>
      <c r="K41" s="157"/>
      <c r="L41" s="244" t="s">
        <v>36</v>
      </c>
      <c r="M41" s="243"/>
      <c r="N41" s="85" t="str">
        <f>N40</f>
        <v>Loopback4</v>
      </c>
      <c r="O41" s="157" t="s">
        <v>84</v>
      </c>
      <c r="P41" s="73" t="str">
        <f>F41</f>
        <v>www-pool4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prefix_vprn1304</v>
      </c>
      <c r="AB41" s="84" t="str">
        <f>AB31</f>
        <v>vprn1304_export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172" t="s">
        <v>603</v>
      </c>
      <c r="E43" s="77">
        <f>MG1VPRNs!E43</f>
        <v>1400</v>
      </c>
      <c r="F43" s="159" t="s">
        <v>856</v>
      </c>
      <c r="G43" s="73" t="s">
        <v>36</v>
      </c>
      <c r="H43" s="73" t="str">
        <f t="shared" ref="H43:H46" si="22">G43</f>
        <v>NA</v>
      </c>
      <c r="I43" s="159" t="s">
        <v>872</v>
      </c>
      <c r="J43" s="159" t="s">
        <v>873</v>
      </c>
      <c r="K43" s="194">
        <v>1404</v>
      </c>
      <c r="L43" s="244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IPv6-1404-MG9-to-WBX-1-To-1304</v>
      </c>
      <c r="Q43" s="162">
        <v>1404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 t="str">
        <f>I41</f>
        <v>2402:3a80:13a6::/47</v>
      </c>
      <c r="Y43" s="18" t="str">
        <f>LEFT(J43,FIND("/",J43)-1)</f>
        <v>2402:3a80:1fff:14::11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173" t="s">
        <v>604</v>
      </c>
      <c r="E44" s="77">
        <f>MG1VPRNs!E44</f>
        <v>1410</v>
      </c>
      <c r="F44" s="159" t="s">
        <v>857</v>
      </c>
      <c r="G44" s="56" t="s">
        <v>36</v>
      </c>
      <c r="H44" s="56" t="str">
        <f t="shared" si="22"/>
        <v>NA</v>
      </c>
      <c r="I44" s="159" t="s">
        <v>874</v>
      </c>
      <c r="J44" s="159" t="s">
        <v>875</v>
      </c>
      <c r="K44" s="194">
        <v>1404</v>
      </c>
      <c r="L44" s="244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IPv6-1404-MG9-to-WBX-2-To-1304</v>
      </c>
      <c r="Q44" s="12" t="s">
        <v>36</v>
      </c>
      <c r="R44" s="52">
        <f t="shared" ref="R44:T46" si="23">R43</f>
        <v>100</v>
      </c>
      <c r="S44" s="52">
        <f t="shared" si="23"/>
        <v>100</v>
      </c>
      <c r="T44" s="52">
        <f t="shared" si="23"/>
        <v>3</v>
      </c>
      <c r="U44" s="52" t="str">
        <f>U43</f>
        <v>Static</v>
      </c>
      <c r="V44" s="253" t="s">
        <v>36</v>
      </c>
      <c r="W44" s="253" t="s">
        <v>36</v>
      </c>
      <c r="X44" s="10" t="str">
        <f>X43</f>
        <v>2402:3a80:13a6::/47</v>
      </c>
      <c r="Y44" s="10" t="str">
        <f>LEFT(J44,FIND("/",J44)-1)</f>
        <v>2402:3a80:1fff:15::11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4">B44</f>
        <v>INVIHR11AMB1SAEU01NK</v>
      </c>
      <c r="C45" s="376"/>
      <c r="D45" s="173" t="s">
        <v>605</v>
      </c>
      <c r="E45" s="77">
        <f>MG1VPRNs!E45</f>
        <v>1420</v>
      </c>
      <c r="F45" s="159" t="s">
        <v>858</v>
      </c>
      <c r="G45" s="56" t="s">
        <v>36</v>
      </c>
      <c r="H45" s="56" t="str">
        <f t="shared" si="22"/>
        <v>NA</v>
      </c>
      <c r="I45" s="159" t="s">
        <v>876</v>
      </c>
      <c r="J45" s="159" t="s">
        <v>877</v>
      </c>
      <c r="K45" s="194">
        <v>1404</v>
      </c>
      <c r="L45" s="244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IPv6-1404-MG10-to-WBX-1-To-1304</v>
      </c>
      <c r="Q45" s="12" t="s">
        <v>36</v>
      </c>
      <c r="R45" s="52">
        <f t="shared" si="23"/>
        <v>100</v>
      </c>
      <c r="S45" s="52">
        <f t="shared" si="23"/>
        <v>100</v>
      </c>
      <c r="T45" s="52">
        <f t="shared" si="23"/>
        <v>3</v>
      </c>
      <c r="U45" s="52" t="str">
        <f>U44</f>
        <v>Static</v>
      </c>
      <c r="V45" s="253" t="s">
        <v>36</v>
      </c>
      <c r="W45" s="253" t="s">
        <v>36</v>
      </c>
      <c r="X45" s="10" t="str">
        <f t="shared" ref="X45:X46" si="25">X44</f>
        <v>2402:3a80:13a6::/47</v>
      </c>
      <c r="Y45" s="10" t="str">
        <f>LEFT(J45,FIND("/",J45)-1)</f>
        <v>2402:3a80:1fff:16::11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4"/>
        <v>INVIHR11AMB1SAEU01NK</v>
      </c>
      <c r="C46" s="376"/>
      <c r="D46" s="230" t="s">
        <v>606</v>
      </c>
      <c r="E46" s="210">
        <f>MG1VPRNs!E46</f>
        <v>1430</v>
      </c>
      <c r="F46" s="159" t="s">
        <v>859</v>
      </c>
      <c r="G46" s="56" t="s">
        <v>36</v>
      </c>
      <c r="H46" s="56" t="str">
        <f t="shared" si="22"/>
        <v>NA</v>
      </c>
      <c r="I46" s="159" t="s">
        <v>878</v>
      </c>
      <c r="J46" s="159" t="s">
        <v>879</v>
      </c>
      <c r="K46" s="194">
        <v>1404</v>
      </c>
      <c r="L46" s="244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IPv6-1404-MG10-to-WBX-2-To-1304</v>
      </c>
      <c r="Q46" s="14" t="s">
        <v>36</v>
      </c>
      <c r="R46" s="87">
        <f t="shared" si="23"/>
        <v>100</v>
      </c>
      <c r="S46" s="87">
        <f t="shared" si="23"/>
        <v>100</v>
      </c>
      <c r="T46" s="87">
        <f t="shared" si="23"/>
        <v>3</v>
      </c>
      <c r="U46" s="87" t="str">
        <f>U45</f>
        <v>Static</v>
      </c>
      <c r="V46" s="145" t="s">
        <v>36</v>
      </c>
      <c r="W46" s="145" t="s">
        <v>36</v>
      </c>
      <c r="X46" s="10" t="str">
        <f t="shared" si="25"/>
        <v>2402:3a80:13a6::/47</v>
      </c>
      <c r="Y46" s="202" t="str">
        <f>LEFT(J46,FIND("/",J46)-1)</f>
        <v>2402:3a80:1fff:17::11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71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O8:O29 O39:O41" xr:uid="{0D2BB236-A8F1-4275-B03F-FFEA91D1D92E}">
      <formula1>$O$1:$O$2</formula1>
    </dataValidation>
    <dataValidation type="list" allowBlank="1" showInputMessage="1" showErrorMessage="1" sqref="AC8:AC29 AC31:AC41 AC43:AC46" xr:uid="{4F32C2B3-DB31-4F68-9293-FE98C1446A78}">
      <formula1>$AC$1:$AC$3</formula1>
    </dataValidation>
    <dataValidation type="list" allowBlank="1" showInputMessage="1" showErrorMessage="1" sqref="U8:U29 U31:U40 U43:U46" xr:uid="{359DFA63-B720-4E11-8766-5A4228783011}">
      <formula1>$U$1:$U$3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60EB-9657-4D0F-90A4-C70A7A920096}">
  <sheetPr codeName="Sheet25"/>
  <dimension ref="A1:AI47"/>
  <sheetViews>
    <sheetView topLeftCell="I24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6.109375" bestFit="1" customWidth="1"/>
    <col min="5" max="5" width="6.5546875" bestFit="1" customWidth="1"/>
    <col min="6" max="6" width="29.6640625" bestFit="1" customWidth="1"/>
    <col min="7" max="7" width="17.33203125" customWidth="1"/>
    <col min="8" max="8" width="16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1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1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MG1VPRNs!B8</f>
        <v>INVIHR11AMB1SAEU01NK</v>
      </c>
      <c r="C8" s="352" t="s">
        <v>217</v>
      </c>
      <c r="D8" s="172" t="s">
        <v>603</v>
      </c>
      <c r="E8" s="11">
        <f>MG1VPRNs!E8</f>
        <v>1106</v>
      </c>
      <c r="F8" s="156" t="s">
        <v>357</v>
      </c>
      <c r="G8" s="163" t="s">
        <v>248</v>
      </c>
      <c r="H8" s="163" t="s">
        <v>210</v>
      </c>
      <c r="I8" s="159" t="s">
        <v>678</v>
      </c>
      <c r="J8" s="159" t="s">
        <v>623</v>
      </c>
      <c r="K8" s="129" t="s">
        <v>36</v>
      </c>
      <c r="L8" s="244" t="s">
        <v>36</v>
      </c>
      <c r="M8" s="132">
        <v>1600</v>
      </c>
      <c r="N8" s="72" t="s">
        <v>64</v>
      </c>
      <c r="O8" s="74"/>
      <c r="P8" s="52" t="str">
        <f>""&amp;F8&amp;"-To-LEAF1"</f>
        <v>UP-CORE-MG9-PORT-1-To-LEAF1</v>
      </c>
      <c r="Q8" s="162">
        <v>105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prefix_vprn105</v>
      </c>
      <c r="AB8" s="74" t="str">
        <f>"vprn"&amp;Q8&amp;"_export"</f>
        <v>vprn105_export</v>
      </c>
      <c r="AC8" s="74"/>
      <c r="AD8" s="74" t="str">
        <f>LEFT(G12,FIND("/",G12)-1)</f>
        <v>192.168.3.13</v>
      </c>
      <c r="AE8" s="74" t="str">
        <f>LEFT(G13,FIND("/",G13)-1)</f>
        <v>192.168.3.15</v>
      </c>
      <c r="AF8" s="74" t="str">
        <f>LEFT(I12,FIND("/",I12)-1)</f>
        <v>2402:3a80:1fff:9::59</v>
      </c>
      <c r="AG8" s="74" t="str">
        <f>LEFT(I13,FIND("/",I13)-1)</f>
        <v>2402:3a80:1fff:9::5b</v>
      </c>
      <c r="AH8" s="161">
        <v>100</v>
      </c>
      <c r="AI8" s="73" t="str">
        <f>"vprn"&amp;AH8&amp;"_import"</f>
        <v>vprn100_import</v>
      </c>
    </row>
    <row r="9" spans="1:35">
      <c r="A9" s="56"/>
      <c r="B9" s="56" t="str">
        <f>B8</f>
        <v>INVIHR11AMB1SAEU01NK</v>
      </c>
      <c r="C9" s="352"/>
      <c r="D9" s="173" t="s">
        <v>604</v>
      </c>
      <c r="E9" s="11">
        <f>MG1VPRNs!E9</f>
        <v>1116</v>
      </c>
      <c r="F9" s="156" t="s">
        <v>358</v>
      </c>
      <c r="G9" s="163" t="s">
        <v>249</v>
      </c>
      <c r="H9" s="163" t="s">
        <v>212</v>
      </c>
      <c r="I9" s="159" t="s">
        <v>679</v>
      </c>
      <c r="J9" s="159" t="s">
        <v>625</v>
      </c>
      <c r="K9" s="129" t="s">
        <v>36</v>
      </c>
      <c r="L9" s="244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UP-CORE-MG9-PORT-2-To-LEAF2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>
      <c r="A10" s="56"/>
      <c r="B10" s="56" t="str">
        <f t="shared" ref="B10:B14" si="1">B9</f>
        <v>INVIHR11AMB1SAEU01NK</v>
      </c>
      <c r="C10" s="352"/>
      <c r="D10" s="173" t="s">
        <v>605</v>
      </c>
      <c r="E10" s="11">
        <f>MG1VPRNs!E10</f>
        <v>1126</v>
      </c>
      <c r="F10" s="156" t="s">
        <v>359</v>
      </c>
      <c r="G10" s="163" t="s">
        <v>250</v>
      </c>
      <c r="H10" s="163" t="s">
        <v>214</v>
      </c>
      <c r="I10" s="159" t="s">
        <v>680</v>
      </c>
      <c r="J10" s="159" t="s">
        <v>627</v>
      </c>
      <c r="K10" s="129" t="s">
        <v>36</v>
      </c>
      <c r="L10" s="244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UP-CORE-MG10-PORT-1-To-LEAF1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15" thickBot="1">
      <c r="A11" s="56"/>
      <c r="B11" s="56" t="str">
        <f t="shared" si="1"/>
        <v>INVIHR11AMB1SAEU01NK</v>
      </c>
      <c r="C11" s="352"/>
      <c r="D11" s="173" t="s">
        <v>606</v>
      </c>
      <c r="E11" s="11">
        <f>MG1VPRNs!E11</f>
        <v>1136</v>
      </c>
      <c r="F11" s="156" t="s">
        <v>360</v>
      </c>
      <c r="G11" s="163" t="s">
        <v>251</v>
      </c>
      <c r="H11" s="163" t="s">
        <v>216</v>
      </c>
      <c r="I11" s="159" t="s">
        <v>681</v>
      </c>
      <c r="J11" s="159" t="s">
        <v>629</v>
      </c>
      <c r="K11" s="129" t="s">
        <v>36</v>
      </c>
      <c r="L11" s="244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UP-CORE-MG10-PORT-2-To-LEAF2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351</v>
      </c>
      <c r="G12" s="131" t="s">
        <v>258</v>
      </c>
      <c r="H12" s="79"/>
      <c r="I12" s="159" t="s">
        <v>676</v>
      </c>
      <c r="J12" s="56" t="s">
        <v>36</v>
      </c>
      <c r="K12" s="167"/>
      <c r="L12" s="244" t="s">
        <v>36</v>
      </c>
      <c r="M12" s="242"/>
      <c r="N12" s="72" t="s">
        <v>68</v>
      </c>
      <c r="O12" s="157" t="s">
        <v>83</v>
      </c>
      <c r="P12" s="52" t="str">
        <f>F12</f>
        <v>UP-CORE-MG-GRP-4-lo1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352</v>
      </c>
      <c r="G13" s="131" t="s">
        <v>259</v>
      </c>
      <c r="H13" s="79"/>
      <c r="I13" s="159" t="s">
        <v>677</v>
      </c>
      <c r="J13" s="56" t="s">
        <v>36</v>
      </c>
      <c r="K13" s="167"/>
      <c r="L13" s="244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UP-CORE-MG-GRP-4-lo2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318</v>
      </c>
      <c r="G14" s="212" t="str">
        <f>'[2]External Interfaces'!$L$13</f>
        <v>203.88.25.6/32</v>
      </c>
      <c r="H14" s="81"/>
      <c r="I14" s="75" t="str">
        <f>'[2]External Interfaces'!$M$13</f>
        <v>2402:8100:12::111/128</v>
      </c>
      <c r="J14" s="56" t="s">
        <v>36</v>
      </c>
      <c r="K14" s="156"/>
      <c r="L14" s="133" t="s">
        <v>1356</v>
      </c>
      <c r="M14" s="227"/>
      <c r="N14" s="72" t="str">
        <f>N12</f>
        <v>Loopback1</v>
      </c>
      <c r="O14" s="157" t="s">
        <v>83</v>
      </c>
      <c r="P14" s="52" t="str">
        <f>F14</f>
        <v>UP-CORE-MG-GRP-4-S1u-SGW_S5-lo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prefix_vprn105</v>
      </c>
      <c r="AB14" s="56" t="str">
        <f>AB8</f>
        <v>vprn105_export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263</v>
      </c>
      <c r="G15" s="83" t="str">
        <f>'[2]External Interfaces'!$L$22</f>
        <v>203.88.25.10/32</v>
      </c>
      <c r="H15" s="81"/>
      <c r="I15" s="207" t="str">
        <f>'[2]External Interfaces'!$M$22</f>
        <v>2402:8100:12::11a/128</v>
      </c>
      <c r="J15" s="84" t="s">
        <v>36</v>
      </c>
      <c r="K15" s="157"/>
      <c r="L15" s="133" t="s">
        <v>1357</v>
      </c>
      <c r="M15" s="240"/>
      <c r="N15" s="85" t="str">
        <f>N13</f>
        <v>Loopback1</v>
      </c>
      <c r="O15" s="157" t="s">
        <v>83</v>
      </c>
      <c r="P15" s="52" t="str">
        <f>F15</f>
        <v>UP-CORE-MG-GRP-4-PGW_S5-S8-lo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prefix_vprn105</v>
      </c>
      <c r="AB15" s="87" t="str">
        <f>AB8</f>
        <v>vprn105_export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172" t="s">
        <v>603</v>
      </c>
      <c r="E17" s="28">
        <f>MG1VPRNs!E17</f>
        <v>1107</v>
      </c>
      <c r="F17" s="161" t="s">
        <v>345</v>
      </c>
      <c r="G17" s="163" t="s">
        <v>276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44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UP-INTERNET-MG9-PORT-1-To-LEAF1</v>
      </c>
      <c r="Q17" s="162">
        <v>205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prefix_vprn205</v>
      </c>
      <c r="AB17" s="74" t="str">
        <f>"vprn"&amp;Q17&amp;"_export"</f>
        <v>vprn205_export</v>
      </c>
      <c r="AC17" s="74"/>
      <c r="AD17" s="74" t="str">
        <f>LEFT(G21,FIND("/",G21)-1)</f>
        <v>192.168.3.51</v>
      </c>
      <c r="AE17" s="74" t="str">
        <f>LEFT(G22,FIND("/",G22)-1)</f>
        <v>192.168.3.53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173" t="s">
        <v>604</v>
      </c>
      <c r="E18" s="11">
        <f>MG1VPRNs!E18</f>
        <v>1117</v>
      </c>
      <c r="F18" s="156" t="s">
        <v>346</v>
      </c>
      <c r="G18" s="163" t="s">
        <v>277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44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UP-INTERNET-MG9-PORT-2-To-LEAF2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>
      <c r="A19" s="56"/>
      <c r="B19" s="56" t="str">
        <f t="shared" ref="B19:B22" si="7">B18</f>
        <v>INVIHR11AMB1SAEU01NK</v>
      </c>
      <c r="C19" s="378"/>
      <c r="D19" s="173" t="s">
        <v>605</v>
      </c>
      <c r="E19" s="11">
        <f>MG1VPRNs!E19</f>
        <v>1127</v>
      </c>
      <c r="F19" s="156" t="s">
        <v>347</v>
      </c>
      <c r="G19" s="163" t="s">
        <v>278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44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UP-INTERNET-MG10-PORT-1-To-LEAF1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>
      <c r="A20" s="56"/>
      <c r="B20" s="56" t="str">
        <f t="shared" si="7"/>
        <v>INVIHR11AMB1SAEU01NK</v>
      </c>
      <c r="C20" s="378"/>
      <c r="D20" s="173" t="s">
        <v>606</v>
      </c>
      <c r="E20" s="11">
        <f>MG1VPRNs!E20</f>
        <v>1137</v>
      </c>
      <c r="F20" s="156" t="s">
        <v>348</v>
      </c>
      <c r="G20" s="163" t="s">
        <v>279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44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UP-INTERNET-MG10-PORT-2-To-LEAF2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339</v>
      </c>
      <c r="G21" s="131" t="s">
        <v>286</v>
      </c>
      <c r="H21" s="79"/>
      <c r="I21" s="76" t="s">
        <v>36</v>
      </c>
      <c r="J21" s="211" t="s">
        <v>36</v>
      </c>
      <c r="K21" s="157"/>
      <c r="L21" s="244" t="s">
        <v>36</v>
      </c>
      <c r="M21" s="228"/>
      <c r="N21" s="72" t="s">
        <v>69</v>
      </c>
      <c r="O21" s="157" t="s">
        <v>83</v>
      </c>
      <c r="P21" s="52" t="str">
        <f>F21</f>
        <v>UP-INTERNET-MG-GRP-4-lo1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9"/>
      <c r="E22" s="79"/>
      <c r="F22" s="156" t="s">
        <v>341</v>
      </c>
      <c r="G22" s="131" t="s">
        <v>287</v>
      </c>
      <c r="H22" s="79"/>
      <c r="I22" s="76" t="s">
        <v>36</v>
      </c>
      <c r="J22" s="211" t="s">
        <v>36</v>
      </c>
      <c r="K22" s="157"/>
      <c r="L22" s="244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UP-INTERNET-MG-GRP-4-lo2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172" t="s">
        <v>603</v>
      </c>
      <c r="E24" s="28">
        <f>MG1VPRNs!E24</f>
        <v>1108</v>
      </c>
      <c r="F24" s="161" t="s">
        <v>904</v>
      </c>
      <c r="G24" s="163" t="s">
        <v>300</v>
      </c>
      <c r="H24" s="163" t="s">
        <v>229</v>
      </c>
      <c r="I24" s="169" t="s">
        <v>670</v>
      </c>
      <c r="J24" s="170" t="s">
        <v>637</v>
      </c>
      <c r="K24" s="129" t="s">
        <v>36</v>
      </c>
      <c r="L24" s="244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UP-IMS-MG9-PORT-1-To-LEAF2</v>
      </c>
      <c r="Q24" s="162">
        <v>305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prefix_vprn305</v>
      </c>
      <c r="AB24" s="74" t="str">
        <f>"vprn"&amp;Q24&amp;"_export"</f>
        <v>vprn305_export</v>
      </c>
      <c r="AC24" s="74"/>
      <c r="AD24" s="74" t="str">
        <f>LEFT(G28,FIND("/",G28)-1)</f>
        <v>192.168.3.87</v>
      </c>
      <c r="AE24" s="74" t="str">
        <f>LEFT(G29,FIND("/",G29)-1)</f>
        <v>192.168.3.89</v>
      </c>
      <c r="AF24" s="74" t="str">
        <f>LEFT(I28,FIND("/",I28)-1)</f>
        <v>2402:3a80:1fff:9::34</v>
      </c>
      <c r="AG24" s="74" t="str">
        <f>LEFT(I29,FIND("/",I29)-1)</f>
        <v>2402:3a80:1fff:9::36</v>
      </c>
      <c r="AH24" s="161">
        <v>300</v>
      </c>
      <c r="AI24" s="73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173" t="s">
        <v>604</v>
      </c>
      <c r="E25" s="11">
        <f>MG1VPRNs!E25</f>
        <v>1118</v>
      </c>
      <c r="F25" s="156" t="s">
        <v>905</v>
      </c>
      <c r="G25" s="163" t="s">
        <v>301</v>
      </c>
      <c r="H25" s="163" t="s">
        <v>231</v>
      </c>
      <c r="I25" s="164" t="s">
        <v>671</v>
      </c>
      <c r="J25" s="167" t="s">
        <v>639</v>
      </c>
      <c r="K25" s="129" t="s">
        <v>36</v>
      </c>
      <c r="L25" s="244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UP-IMS-MG9-PORT-2-To-LEAF2</v>
      </c>
      <c r="Q25" s="12" t="s">
        <v>36</v>
      </c>
      <c r="R25" s="52">
        <f t="shared" ref="R25:T27" si="10">R24</f>
        <v>100</v>
      </c>
      <c r="S25" s="52">
        <f t="shared" si="10"/>
        <v>100</v>
      </c>
      <c r="T25" s="52">
        <f t="shared" si="10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>
      <c r="A26" s="56"/>
      <c r="B26" s="56" t="str">
        <f t="shared" ref="B26:B29" si="11">B25</f>
        <v>INVIHR11AMB1SAEU01NK</v>
      </c>
      <c r="C26" s="378"/>
      <c r="D26" s="173" t="s">
        <v>605</v>
      </c>
      <c r="E26" s="11">
        <f>MG1VPRNs!E26</f>
        <v>1128</v>
      </c>
      <c r="F26" s="156" t="s">
        <v>906</v>
      </c>
      <c r="G26" s="163" t="s">
        <v>302</v>
      </c>
      <c r="H26" s="163" t="s">
        <v>233</v>
      </c>
      <c r="I26" s="164" t="s">
        <v>672</v>
      </c>
      <c r="J26" s="167" t="s">
        <v>641</v>
      </c>
      <c r="K26" s="129" t="s">
        <v>36</v>
      </c>
      <c r="L26" s="244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UP-IMS-MG10-PORT-1-To-LEAF2</v>
      </c>
      <c r="Q26" s="12" t="s">
        <v>36</v>
      </c>
      <c r="R26" s="52">
        <f t="shared" si="10"/>
        <v>100</v>
      </c>
      <c r="S26" s="52">
        <f t="shared" si="10"/>
        <v>100</v>
      </c>
      <c r="T26" s="52">
        <f t="shared" si="10"/>
        <v>3</v>
      </c>
      <c r="U26" s="52" t="str">
        <f>U25</f>
        <v>Static</v>
      </c>
      <c r="V26" s="52" t="str">
        <f t="shared" ref="V26:V27" si="12">V25</f>
        <v>0.0.0.0/0</v>
      </c>
      <c r="W26" s="254" t="str">
        <f>LEFT(H26,FIND("/",H26)-1)</f>
        <v>192.168.1.190</v>
      </c>
      <c r="X26" s="76" t="str">
        <f t="shared" ref="X26:X27" si="13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>
      <c r="A27" s="56"/>
      <c r="B27" s="56" t="str">
        <f t="shared" si="11"/>
        <v>INVIHR11AMB1SAEU01NK</v>
      </c>
      <c r="C27" s="378"/>
      <c r="D27" s="173" t="s">
        <v>606</v>
      </c>
      <c r="E27" s="11">
        <f>MG1VPRNs!E27</f>
        <v>1138</v>
      </c>
      <c r="F27" s="156" t="s">
        <v>907</v>
      </c>
      <c r="G27" s="163" t="s">
        <v>303</v>
      </c>
      <c r="H27" s="163" t="s">
        <v>235</v>
      </c>
      <c r="I27" s="165" t="s">
        <v>673</v>
      </c>
      <c r="J27" s="168" t="s">
        <v>643</v>
      </c>
      <c r="K27" s="129" t="s">
        <v>36</v>
      </c>
      <c r="L27" s="244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UP-IMS-MG10-PORT-2-To-LEAF2</v>
      </c>
      <c r="Q27" s="12" t="s">
        <v>36</v>
      </c>
      <c r="R27" s="52">
        <f t="shared" si="10"/>
        <v>100</v>
      </c>
      <c r="S27" s="52">
        <f t="shared" si="10"/>
        <v>100</v>
      </c>
      <c r="T27" s="52">
        <f t="shared" si="10"/>
        <v>3</v>
      </c>
      <c r="U27" s="87" t="str">
        <f>U26</f>
        <v>Static</v>
      </c>
      <c r="V27" s="52" t="str">
        <f t="shared" si="12"/>
        <v>0.0.0.0/0</v>
      </c>
      <c r="W27" s="254" t="str">
        <f>LEFT(H27,FIND("/",H27)-1)</f>
        <v>192.168.2.190</v>
      </c>
      <c r="X27" s="76" t="str">
        <f t="shared" si="13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1"/>
        <v>INVIHR11AMB1SAEU01NK</v>
      </c>
      <c r="C28" s="378"/>
      <c r="D28" s="27"/>
      <c r="E28" s="56"/>
      <c r="F28" s="156" t="s">
        <v>908</v>
      </c>
      <c r="G28" s="131" t="s">
        <v>310</v>
      </c>
      <c r="H28" s="79"/>
      <c r="I28" s="156" t="s">
        <v>674</v>
      </c>
      <c r="J28" s="56" t="s">
        <v>36</v>
      </c>
      <c r="K28" s="157"/>
      <c r="L28" s="244" t="s">
        <v>36</v>
      </c>
      <c r="M28" s="228"/>
      <c r="N28" s="72" t="s">
        <v>70</v>
      </c>
      <c r="O28" s="157" t="s">
        <v>83</v>
      </c>
      <c r="P28" s="52" t="str">
        <f>F28</f>
        <v>UP-IMS-MG-GRP-4-lo1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1"/>
        <v>INVIHR11AMB1SAEU01NK</v>
      </c>
      <c r="C29" s="378"/>
      <c r="D29" s="29"/>
      <c r="E29" s="56"/>
      <c r="F29" s="156" t="s">
        <v>909</v>
      </c>
      <c r="G29" s="131" t="s">
        <v>311</v>
      </c>
      <c r="H29" s="79"/>
      <c r="I29" s="156" t="s">
        <v>675</v>
      </c>
      <c r="J29" s="56" t="s">
        <v>36</v>
      </c>
      <c r="K29" s="157"/>
      <c r="L29" s="244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UP-IMS-MG-GRP-4-lo2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71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172" t="s">
        <v>603</v>
      </c>
      <c r="E31" s="204">
        <f>MG1VPRNs!E31</f>
        <v>1500</v>
      </c>
      <c r="F31" s="159" t="s">
        <v>884</v>
      </c>
      <c r="G31" s="73" t="s">
        <v>36</v>
      </c>
      <c r="H31" s="73" t="str">
        <f t="shared" ref="H31:H40" si="14">G31</f>
        <v>NA</v>
      </c>
      <c r="I31" s="159" t="s">
        <v>888</v>
      </c>
      <c r="J31" s="159" t="s">
        <v>691</v>
      </c>
      <c r="K31" s="129" t="s">
        <v>36</v>
      </c>
      <c r="L31" s="244" t="s">
        <v>36</v>
      </c>
      <c r="M31" s="132" t="s">
        <v>36</v>
      </c>
      <c r="N31" s="88" t="s">
        <v>67</v>
      </c>
      <c r="O31" s="73"/>
      <c r="P31" s="52" t="str">
        <f t="shared" ref="P31:P38" si="15">""&amp;F31&amp;"-To-LEAF2"</f>
        <v>Non-NAT-IPv6-MG9-PORT-1-To-LEAF2</v>
      </c>
      <c r="Q31" s="162">
        <v>1305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6">LEFT(J31,FIND("/",J31)-1)</f>
        <v>2402:3a80:1fff:5::1</v>
      </c>
      <c r="Z31" s="77">
        <f>Z24</f>
        <v>65010</v>
      </c>
      <c r="AA31" s="73" t="str">
        <f>"prefix_vprn"&amp;Q31&amp;""</f>
        <v>prefix_vprn1305</v>
      </c>
      <c r="AB31" s="74" t="str">
        <f>"vprn"&amp;Q31&amp;"_export"</f>
        <v>vprn1305_export</v>
      </c>
      <c r="AC31" s="74"/>
      <c r="AD31" s="74" t="s">
        <v>36</v>
      </c>
      <c r="AE31" s="74" t="s">
        <v>36</v>
      </c>
      <c r="AF31" s="74" t="str">
        <f>LEFT(I34,FIND("/",I34)-1)</f>
        <v>2402:3a80:1fff:8::6</v>
      </c>
      <c r="AG31" s="74" t="str">
        <f>LEFT(I39,FIND("/",I39)-1)</f>
        <v>2402:3a80:1fff:9::d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173" t="s">
        <v>604</v>
      </c>
      <c r="E32" s="204">
        <f>MG1VPRNs!E32</f>
        <v>1510</v>
      </c>
      <c r="F32" s="159" t="s">
        <v>885</v>
      </c>
      <c r="G32" s="56" t="s">
        <v>36</v>
      </c>
      <c r="H32" s="56" t="str">
        <f t="shared" si="14"/>
        <v>NA</v>
      </c>
      <c r="I32" s="159" t="s">
        <v>889</v>
      </c>
      <c r="J32" s="159" t="s">
        <v>693</v>
      </c>
      <c r="K32" s="129" t="s">
        <v>36</v>
      </c>
      <c r="L32" s="244" t="s">
        <v>36</v>
      </c>
      <c r="M32" s="132" t="s">
        <v>36</v>
      </c>
      <c r="N32" s="72" t="str">
        <f>N31</f>
        <v>Physical4</v>
      </c>
      <c r="O32" s="56"/>
      <c r="P32" s="52" t="str">
        <f t="shared" si="15"/>
        <v>Non-NAT-IPv6-MG9-PORT-2-To-LEAF2</v>
      </c>
      <c r="Q32" s="12" t="s">
        <v>36</v>
      </c>
      <c r="R32" s="52">
        <f t="shared" ref="R32:U38" si="17">R31</f>
        <v>100</v>
      </c>
      <c r="S32" s="52">
        <f t="shared" si="17"/>
        <v>100</v>
      </c>
      <c r="T32" s="52">
        <f t="shared" si="17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6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8">B32</f>
        <v>INVIHR11AMB1SAEU01NK</v>
      </c>
      <c r="C33" s="376"/>
      <c r="D33" s="173" t="s">
        <v>605</v>
      </c>
      <c r="E33" s="204">
        <f>MG1VPRNs!E33</f>
        <v>1520</v>
      </c>
      <c r="F33" s="159" t="s">
        <v>886</v>
      </c>
      <c r="G33" s="56" t="s">
        <v>36</v>
      </c>
      <c r="H33" s="56" t="str">
        <f t="shared" si="14"/>
        <v>NA</v>
      </c>
      <c r="I33" s="159" t="s">
        <v>890</v>
      </c>
      <c r="J33" s="159" t="s">
        <v>695</v>
      </c>
      <c r="K33" s="129" t="s">
        <v>36</v>
      </c>
      <c r="L33" s="244" t="s">
        <v>36</v>
      </c>
      <c r="M33" s="132" t="s">
        <v>36</v>
      </c>
      <c r="N33" s="72" t="str">
        <f>N31</f>
        <v>Physical4</v>
      </c>
      <c r="O33" s="56"/>
      <c r="P33" s="52" t="str">
        <f t="shared" si="15"/>
        <v>Non-NAT-IPv6-MG10-PORT-1-To-LEAF2</v>
      </c>
      <c r="Q33" s="12" t="s">
        <v>36</v>
      </c>
      <c r="R33" s="52">
        <f t="shared" si="17"/>
        <v>100</v>
      </c>
      <c r="S33" s="52">
        <f t="shared" si="17"/>
        <v>100</v>
      </c>
      <c r="T33" s="52">
        <f t="shared" si="17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19">X32</f>
        <v>::/0</v>
      </c>
      <c r="Y33" s="18" t="str">
        <f t="shared" si="16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8"/>
        <v>INVIHR11AMB1SAEU01NK</v>
      </c>
      <c r="C34" s="376"/>
      <c r="D34" s="173" t="s">
        <v>606</v>
      </c>
      <c r="E34" s="204">
        <f>MG1VPRNs!E34</f>
        <v>1530</v>
      </c>
      <c r="F34" s="159" t="s">
        <v>887</v>
      </c>
      <c r="G34" s="56" t="s">
        <v>36</v>
      </c>
      <c r="H34" s="56" t="str">
        <f t="shared" si="14"/>
        <v>NA</v>
      </c>
      <c r="I34" s="159" t="s">
        <v>891</v>
      </c>
      <c r="J34" s="159" t="s">
        <v>697</v>
      </c>
      <c r="K34" s="129" t="s">
        <v>36</v>
      </c>
      <c r="L34" s="244" t="s">
        <v>36</v>
      </c>
      <c r="M34" s="132" t="s">
        <v>36</v>
      </c>
      <c r="N34" s="72" t="str">
        <f>N31</f>
        <v>Physical4</v>
      </c>
      <c r="O34" s="56"/>
      <c r="P34" s="52" t="str">
        <f t="shared" si="15"/>
        <v>Non-NAT-IPv6-MG10-PORT-2-To-LEAF2</v>
      </c>
      <c r="Q34" s="12" t="s">
        <v>36</v>
      </c>
      <c r="R34" s="52">
        <f t="shared" si="17"/>
        <v>100</v>
      </c>
      <c r="S34" s="52">
        <f t="shared" si="17"/>
        <v>100</v>
      </c>
      <c r="T34" s="52">
        <f t="shared" si="17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19"/>
        <v>::/0</v>
      </c>
      <c r="Y34" s="18" t="str">
        <f t="shared" si="16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8"/>
        <v>INVIHR11AMB1SAEU01NK</v>
      </c>
      <c r="C35" s="376"/>
      <c r="D35" s="172" t="s">
        <v>603</v>
      </c>
      <c r="E35" s="205">
        <f>MG1VPRNs!E35</f>
        <v>1300</v>
      </c>
      <c r="F35" s="159" t="s">
        <v>860</v>
      </c>
      <c r="G35" s="56" t="s">
        <v>36</v>
      </c>
      <c r="H35" s="56" t="str">
        <f t="shared" si="14"/>
        <v>NA</v>
      </c>
      <c r="I35" s="159" t="s">
        <v>864</v>
      </c>
      <c r="J35" s="159" t="s">
        <v>865</v>
      </c>
      <c r="K35" s="129" t="s">
        <v>36</v>
      </c>
      <c r="L35" s="244" t="s">
        <v>36</v>
      </c>
      <c r="M35" s="132" t="s">
        <v>36</v>
      </c>
      <c r="N35" s="72" t="str">
        <f t="shared" ref="N35:N38" si="20">N32</f>
        <v>Physical4</v>
      </c>
      <c r="O35" s="56"/>
      <c r="P35" s="52" t="str">
        <f t="shared" si="15"/>
        <v>TO-NAT-Redirect-MG9-PORT-1-To-LEAF2</v>
      </c>
      <c r="Q35" s="12" t="s">
        <v>36</v>
      </c>
      <c r="R35" s="52">
        <f t="shared" si="17"/>
        <v>100</v>
      </c>
      <c r="S35" s="52">
        <f t="shared" si="17"/>
        <v>100</v>
      </c>
      <c r="T35" s="52">
        <f t="shared" si="17"/>
        <v>3</v>
      </c>
      <c r="U35" s="52" t="str">
        <f t="shared" si="17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6"/>
        <v>2402:3a80:1fff:10::11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8"/>
        <v>INVIHR11AMB1SAEU01NK</v>
      </c>
      <c r="C36" s="376"/>
      <c r="D36" s="173" t="s">
        <v>604</v>
      </c>
      <c r="E36" s="205">
        <f>MG1VPRNs!E36</f>
        <v>1310</v>
      </c>
      <c r="F36" s="159" t="s">
        <v>861</v>
      </c>
      <c r="G36" s="56" t="s">
        <v>36</v>
      </c>
      <c r="H36" s="56" t="str">
        <f t="shared" si="14"/>
        <v>NA</v>
      </c>
      <c r="I36" s="159" t="s">
        <v>866</v>
      </c>
      <c r="J36" s="159" t="s">
        <v>867</v>
      </c>
      <c r="K36" s="129" t="s">
        <v>36</v>
      </c>
      <c r="L36" s="244" t="s">
        <v>36</v>
      </c>
      <c r="M36" s="132" t="s">
        <v>36</v>
      </c>
      <c r="N36" s="72" t="str">
        <f t="shared" si="20"/>
        <v>Physical4</v>
      </c>
      <c r="O36" s="56"/>
      <c r="P36" s="52" t="str">
        <f t="shared" si="15"/>
        <v>TO-NAT-Redirect-MG9-PORT-2-To-LEAF2</v>
      </c>
      <c r="Q36" s="12" t="s">
        <v>36</v>
      </c>
      <c r="R36" s="52">
        <f t="shared" si="17"/>
        <v>100</v>
      </c>
      <c r="S36" s="52">
        <f t="shared" si="17"/>
        <v>100</v>
      </c>
      <c r="T36" s="52">
        <f t="shared" si="17"/>
        <v>3</v>
      </c>
      <c r="U36" s="52" t="str">
        <f t="shared" si="17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6"/>
        <v>2402:3a80:1fff:11::11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8"/>
        <v>INVIHR11AMB1SAEU01NK</v>
      </c>
      <c r="C37" s="376"/>
      <c r="D37" s="173" t="s">
        <v>605</v>
      </c>
      <c r="E37" s="205">
        <f>MG1VPRNs!E37</f>
        <v>1320</v>
      </c>
      <c r="F37" s="159" t="s">
        <v>862</v>
      </c>
      <c r="G37" s="56" t="s">
        <v>36</v>
      </c>
      <c r="H37" s="56" t="str">
        <f t="shared" si="14"/>
        <v>NA</v>
      </c>
      <c r="I37" s="159" t="s">
        <v>868</v>
      </c>
      <c r="J37" s="159" t="s">
        <v>869</v>
      </c>
      <c r="K37" s="129" t="s">
        <v>36</v>
      </c>
      <c r="L37" s="244" t="s">
        <v>36</v>
      </c>
      <c r="M37" s="132" t="s">
        <v>36</v>
      </c>
      <c r="N37" s="72" t="str">
        <f t="shared" si="20"/>
        <v>Physical4</v>
      </c>
      <c r="O37" s="56"/>
      <c r="P37" s="52" t="str">
        <f t="shared" si="15"/>
        <v>TO-NAT-Redirect-MG10-PORT-1-To-LEAF2</v>
      </c>
      <c r="Q37" s="12" t="s">
        <v>36</v>
      </c>
      <c r="R37" s="52">
        <f t="shared" si="17"/>
        <v>100</v>
      </c>
      <c r="S37" s="52">
        <f t="shared" si="17"/>
        <v>100</v>
      </c>
      <c r="T37" s="52">
        <f t="shared" si="17"/>
        <v>3</v>
      </c>
      <c r="U37" s="52" t="str">
        <f t="shared" si="17"/>
        <v>Static</v>
      </c>
      <c r="V37" s="253" t="s">
        <v>36</v>
      </c>
      <c r="W37" s="253" t="s">
        <v>36</v>
      </c>
      <c r="X37" s="208" t="str">
        <f t="shared" ref="X37:X38" si="21">X36</f>
        <v>2402:3a80:1fff:3f::/96</v>
      </c>
      <c r="Y37" s="18" t="str">
        <f t="shared" si="16"/>
        <v>2402:3a80:1fff:12::11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8"/>
        <v>INVIHR11AMB1SAEU01NK</v>
      </c>
      <c r="C38" s="376"/>
      <c r="D38" s="173" t="s">
        <v>606</v>
      </c>
      <c r="E38" s="205">
        <f>MG1VPRNs!E38</f>
        <v>1330</v>
      </c>
      <c r="F38" s="159" t="s">
        <v>863</v>
      </c>
      <c r="G38" s="56" t="s">
        <v>36</v>
      </c>
      <c r="H38" s="56" t="str">
        <f t="shared" si="14"/>
        <v>NA</v>
      </c>
      <c r="I38" s="159" t="s">
        <v>870</v>
      </c>
      <c r="J38" s="159" t="s">
        <v>871</v>
      </c>
      <c r="K38" s="129" t="s">
        <v>36</v>
      </c>
      <c r="L38" s="244" t="s">
        <v>36</v>
      </c>
      <c r="M38" s="132" t="s">
        <v>36</v>
      </c>
      <c r="N38" s="72" t="str">
        <f t="shared" si="20"/>
        <v>Physical4</v>
      </c>
      <c r="O38" s="56"/>
      <c r="P38" s="52" t="str">
        <f t="shared" si="15"/>
        <v>TO-NAT-Redirect-MG10-PORT-2-To-LEAF2</v>
      </c>
      <c r="Q38" s="12" t="s">
        <v>36</v>
      </c>
      <c r="R38" s="52">
        <f t="shared" si="17"/>
        <v>100</v>
      </c>
      <c r="S38" s="52">
        <f t="shared" si="17"/>
        <v>100</v>
      </c>
      <c r="T38" s="52">
        <f t="shared" si="17"/>
        <v>3</v>
      </c>
      <c r="U38" s="52" t="str">
        <f t="shared" si="17"/>
        <v>Static</v>
      </c>
      <c r="V38" s="253" t="s">
        <v>36</v>
      </c>
      <c r="W38" s="253" t="s">
        <v>36</v>
      </c>
      <c r="X38" s="208" t="str">
        <f t="shared" si="21"/>
        <v>2402:3a80:1fff:3f::/96</v>
      </c>
      <c r="Y38" s="18" t="str">
        <f t="shared" si="16"/>
        <v>2402:3a80:1fff:13::11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880</v>
      </c>
      <c r="G39" s="56" t="s">
        <v>36</v>
      </c>
      <c r="H39" s="56" t="str">
        <f t="shared" si="14"/>
        <v>NA</v>
      </c>
      <c r="I39" s="159" t="s">
        <v>882</v>
      </c>
      <c r="J39" s="56"/>
      <c r="K39" s="156"/>
      <c r="L39" s="244" t="s">
        <v>36</v>
      </c>
      <c r="M39" s="228"/>
      <c r="N39" s="72" t="s">
        <v>72</v>
      </c>
      <c r="O39" s="156" t="s">
        <v>83</v>
      </c>
      <c r="P39" s="52" t="str">
        <f>F39</f>
        <v>NAT-IPv6-MG-GRP-4-lo1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8"/>
        <v>INVIHR11AMB1SAEU01NK</v>
      </c>
      <c r="C40" s="376"/>
      <c r="D40" s="56"/>
      <c r="E40" s="56"/>
      <c r="F40" s="159" t="s">
        <v>881</v>
      </c>
      <c r="G40" s="56" t="s">
        <v>36</v>
      </c>
      <c r="H40" s="56" t="str">
        <f t="shared" si="14"/>
        <v>NA</v>
      </c>
      <c r="I40" s="159" t="s">
        <v>883</v>
      </c>
      <c r="J40" s="56"/>
      <c r="K40" s="156"/>
      <c r="L40" s="244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NAT-IPv6-MG-GRP-4-lo2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8"/>
        <v>INVIHR11AMB1SAEU01NK</v>
      </c>
      <c r="C41" s="376"/>
      <c r="D41" s="84"/>
      <c r="E41" s="84"/>
      <c r="F41" s="203" t="s">
        <v>621</v>
      </c>
      <c r="G41" s="207" t="str">
        <f>'[2]External Interfaces'!$H$59</f>
        <v>10.11.0.0/16</v>
      </c>
      <c r="H41" s="84" t="s">
        <v>36</v>
      </c>
      <c r="I41" s="207" t="str">
        <f>'[2]External Interfaces'!$I$59</f>
        <v>2402:3a80:13a6::/47</v>
      </c>
      <c r="J41" s="84"/>
      <c r="K41" s="157"/>
      <c r="L41" s="244" t="s">
        <v>36</v>
      </c>
      <c r="M41" s="243"/>
      <c r="N41" s="85" t="str">
        <f>N40</f>
        <v>Loopback4</v>
      </c>
      <c r="O41" s="157" t="s">
        <v>84</v>
      </c>
      <c r="P41" s="73" t="str">
        <f>F41</f>
        <v>www-pool4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prefix_vprn1305</v>
      </c>
      <c r="AB41" s="84" t="str">
        <f>AB31</f>
        <v>vprn1305_export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172" t="s">
        <v>603</v>
      </c>
      <c r="E43" s="77">
        <f>MG1VPRNs!E43</f>
        <v>1400</v>
      </c>
      <c r="F43" s="159" t="s">
        <v>1373</v>
      </c>
      <c r="G43" s="73" t="s">
        <v>36</v>
      </c>
      <c r="H43" s="73" t="str">
        <f t="shared" ref="H43:H46" si="22">G43</f>
        <v>NA</v>
      </c>
      <c r="I43" s="159" t="s">
        <v>872</v>
      </c>
      <c r="J43" s="159" t="s">
        <v>873</v>
      </c>
      <c r="K43" s="194">
        <v>1405</v>
      </c>
      <c r="L43" s="244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IPv6-1405-MG9-to-WBX-1-To-1305</v>
      </c>
      <c r="Q43" s="162">
        <v>1306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 t="str">
        <f>I41</f>
        <v>2402:3a80:13a6::/47</v>
      </c>
      <c r="Y43" s="18" t="str">
        <f>LEFT(J43,FIND("/",J43)-1)</f>
        <v>2402:3a80:1fff:14::11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173" t="s">
        <v>604</v>
      </c>
      <c r="E44" s="77">
        <f>MG1VPRNs!E44</f>
        <v>1410</v>
      </c>
      <c r="F44" s="159" t="s">
        <v>1374</v>
      </c>
      <c r="G44" s="56" t="s">
        <v>36</v>
      </c>
      <c r="H44" s="56" t="str">
        <f t="shared" si="22"/>
        <v>NA</v>
      </c>
      <c r="I44" s="159" t="s">
        <v>874</v>
      </c>
      <c r="J44" s="159" t="s">
        <v>875</v>
      </c>
      <c r="K44" s="194">
        <v>1405</v>
      </c>
      <c r="L44" s="244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IPv6-1405-MG9-to-WBX-2-To-1305</v>
      </c>
      <c r="Q44" s="12" t="s">
        <v>36</v>
      </c>
      <c r="R44" s="52">
        <f t="shared" ref="R44:T46" si="23">R43</f>
        <v>100</v>
      </c>
      <c r="S44" s="52">
        <f t="shared" si="23"/>
        <v>100</v>
      </c>
      <c r="T44" s="52">
        <f t="shared" si="23"/>
        <v>3</v>
      </c>
      <c r="U44" s="52" t="str">
        <f>U43</f>
        <v>Static</v>
      </c>
      <c r="V44" s="253" t="s">
        <v>36</v>
      </c>
      <c r="W44" s="253" t="s">
        <v>36</v>
      </c>
      <c r="X44" s="10" t="str">
        <f>X43</f>
        <v>2402:3a80:13a6::/47</v>
      </c>
      <c r="Y44" s="10" t="str">
        <f>LEFT(J44,FIND("/",J44)-1)</f>
        <v>2402:3a80:1fff:15::11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4">B44</f>
        <v>INVIHR11AMB1SAEU01NK</v>
      </c>
      <c r="C45" s="376"/>
      <c r="D45" s="173" t="s">
        <v>605</v>
      </c>
      <c r="E45" s="77">
        <f>MG1VPRNs!E45</f>
        <v>1420</v>
      </c>
      <c r="F45" s="159" t="s">
        <v>1375</v>
      </c>
      <c r="G45" s="56" t="s">
        <v>36</v>
      </c>
      <c r="H45" s="56" t="str">
        <f t="shared" si="22"/>
        <v>NA</v>
      </c>
      <c r="I45" s="159" t="s">
        <v>876</v>
      </c>
      <c r="J45" s="159" t="s">
        <v>877</v>
      </c>
      <c r="K45" s="194">
        <v>1405</v>
      </c>
      <c r="L45" s="244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IPv6-1405-MG10-to-WBX-1-To-1305</v>
      </c>
      <c r="Q45" s="12" t="s">
        <v>36</v>
      </c>
      <c r="R45" s="52">
        <f t="shared" si="23"/>
        <v>100</v>
      </c>
      <c r="S45" s="52">
        <f t="shared" si="23"/>
        <v>100</v>
      </c>
      <c r="T45" s="52">
        <f t="shared" si="23"/>
        <v>3</v>
      </c>
      <c r="U45" s="52" t="str">
        <f>U44</f>
        <v>Static</v>
      </c>
      <c r="V45" s="253" t="s">
        <v>36</v>
      </c>
      <c r="W45" s="253" t="s">
        <v>36</v>
      </c>
      <c r="X45" s="10" t="str">
        <f t="shared" ref="X45:X46" si="25">X44</f>
        <v>2402:3a80:13a6::/47</v>
      </c>
      <c r="Y45" s="10" t="str">
        <f>LEFT(J45,FIND("/",J45)-1)</f>
        <v>2402:3a80:1fff:16::11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4"/>
        <v>INVIHR11AMB1SAEU01NK</v>
      </c>
      <c r="C46" s="376"/>
      <c r="D46" s="230" t="s">
        <v>606</v>
      </c>
      <c r="E46" s="210">
        <f>MG1VPRNs!E46</f>
        <v>1430</v>
      </c>
      <c r="F46" s="159" t="s">
        <v>1376</v>
      </c>
      <c r="G46" s="56" t="s">
        <v>36</v>
      </c>
      <c r="H46" s="56" t="str">
        <f t="shared" si="22"/>
        <v>NA</v>
      </c>
      <c r="I46" s="159" t="s">
        <v>878</v>
      </c>
      <c r="J46" s="159" t="s">
        <v>879</v>
      </c>
      <c r="K46" s="194">
        <v>1405</v>
      </c>
      <c r="L46" s="244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IPv6-1405-MG10-to-WBX-2-To-1305</v>
      </c>
      <c r="Q46" s="14" t="s">
        <v>36</v>
      </c>
      <c r="R46" s="87">
        <f t="shared" si="23"/>
        <v>100</v>
      </c>
      <c r="S46" s="87">
        <f t="shared" si="23"/>
        <v>100</v>
      </c>
      <c r="T46" s="87">
        <f t="shared" si="23"/>
        <v>3</v>
      </c>
      <c r="U46" s="87" t="str">
        <f>U45</f>
        <v>Static</v>
      </c>
      <c r="V46" s="145" t="s">
        <v>36</v>
      </c>
      <c r="W46" s="145" t="s">
        <v>36</v>
      </c>
      <c r="X46" s="10" t="str">
        <f t="shared" si="25"/>
        <v>2402:3a80:13a6::/47</v>
      </c>
      <c r="Y46" s="202" t="str">
        <f>LEFT(J46,FIND("/",J46)-1)</f>
        <v>2402:3a80:1fff:17::11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71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U8:U29 U31:U40 U43:U46" xr:uid="{B14D4549-1443-4EED-BA01-A59A198FEFC7}">
      <formula1>$U$1:$U$3</formula1>
    </dataValidation>
    <dataValidation type="list" allowBlank="1" showInputMessage="1" showErrorMessage="1" sqref="AC8:AC29 AC31:AC41 AC43:AC46" xr:uid="{860AAB80-6232-4B88-996D-5515A876477C}">
      <formula1>$AC$1:$AC$3</formula1>
    </dataValidation>
    <dataValidation type="list" allowBlank="1" showInputMessage="1" showErrorMessage="1" sqref="O8:O29 O39:O41" xr:uid="{A1050636-7CAE-4306-A4CE-447062641F6F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68761-4687-4987-ABBE-467835E603AE}">
  <sheetPr codeName="Sheet26"/>
  <dimension ref="A1:AI47"/>
  <sheetViews>
    <sheetView topLeftCell="P24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6.109375" bestFit="1" customWidth="1"/>
    <col min="5" max="5" width="6.5546875" bestFit="1" customWidth="1"/>
    <col min="6" max="6" width="29.6640625" bestFit="1" customWidth="1"/>
    <col min="7" max="7" width="17.6640625" customWidth="1"/>
    <col min="8" max="8" width="18.109375" customWidth="1"/>
    <col min="9" max="9" width="21.332031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1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MG1VPRNs!B8</f>
        <v>INVIHR11AMB1SAEU01NK</v>
      </c>
      <c r="C8" s="352" t="s">
        <v>217</v>
      </c>
      <c r="D8" s="172" t="s">
        <v>1238</v>
      </c>
      <c r="E8" s="11">
        <f>MG1VPRNs!E8</f>
        <v>1106</v>
      </c>
      <c r="F8" s="156" t="s">
        <v>984</v>
      </c>
      <c r="G8" s="163" t="s">
        <v>1000</v>
      </c>
      <c r="H8" s="163" t="s">
        <v>210</v>
      </c>
      <c r="I8" s="159" t="s">
        <v>1028</v>
      </c>
      <c r="J8" s="159" t="s">
        <v>623</v>
      </c>
      <c r="K8" s="129" t="s">
        <v>36</v>
      </c>
      <c r="L8" s="228" t="s">
        <v>36</v>
      </c>
      <c r="M8" s="132">
        <v>1600</v>
      </c>
      <c r="N8" s="72" t="s">
        <v>64</v>
      </c>
      <c r="O8" s="74"/>
      <c r="P8" s="52" t="str">
        <f>""&amp;F8&amp;"-To-LEAF1"</f>
        <v>UP-CORE-MG13-PORT-1-To-LEAF1</v>
      </c>
      <c r="Q8" s="162">
        <v>106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prefix_vprn106</v>
      </c>
      <c r="AB8" s="74" t="str">
        <f>"vprn"&amp;Q8&amp;"_export"</f>
        <v>vprn106_export</v>
      </c>
      <c r="AC8" s="74"/>
      <c r="AD8" s="74" t="str">
        <f>LEFT(G12,FIND("/",G12)-1)</f>
        <v>192.168.3.21</v>
      </c>
      <c r="AE8" s="74" t="str">
        <f>LEFT(G13,FIND("/",G13)-1)</f>
        <v>192.168.3.23</v>
      </c>
      <c r="AF8" s="74" t="str">
        <f>LEFT(I12,FIND("/",I12)-1)</f>
        <v>2402:3a80:1fff:9::65</v>
      </c>
      <c r="AG8" s="74" t="str">
        <f>LEFT(I13,FIND("/",I13)-1)</f>
        <v>2402:3a80:1fff:9::67</v>
      </c>
      <c r="AH8" s="161">
        <v>100</v>
      </c>
      <c r="AI8" s="73" t="str">
        <f>"vprn"&amp;AH8&amp;"_import"</f>
        <v>vprn100_import</v>
      </c>
    </row>
    <row r="9" spans="1:35">
      <c r="A9" s="56"/>
      <c r="B9" s="56" t="str">
        <f>B8</f>
        <v>INVIHR11AMB1SAEU01NK</v>
      </c>
      <c r="C9" s="352"/>
      <c r="D9" s="173" t="s">
        <v>1239</v>
      </c>
      <c r="E9" s="11">
        <f>MG1VPRNs!E9</f>
        <v>1116</v>
      </c>
      <c r="F9" s="156" t="s">
        <v>985</v>
      </c>
      <c r="G9" s="163" t="s">
        <v>1001</v>
      </c>
      <c r="H9" s="163" t="s">
        <v>212</v>
      </c>
      <c r="I9" s="159" t="s">
        <v>1029</v>
      </c>
      <c r="J9" s="159" t="s">
        <v>625</v>
      </c>
      <c r="K9" s="129" t="s">
        <v>36</v>
      </c>
      <c r="L9" s="228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UP-CORE-MG13-PORT-2-To-LEAF2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>
      <c r="A10" s="56"/>
      <c r="B10" s="56" t="str">
        <f t="shared" ref="B10:B14" si="1">B9</f>
        <v>INVIHR11AMB1SAEU01NK</v>
      </c>
      <c r="C10" s="352"/>
      <c r="D10" s="173" t="s">
        <v>1240</v>
      </c>
      <c r="E10" s="11">
        <f>MG1VPRNs!E10</f>
        <v>1126</v>
      </c>
      <c r="F10" s="156" t="s">
        <v>986</v>
      </c>
      <c r="G10" s="163" t="s">
        <v>1002</v>
      </c>
      <c r="H10" s="163" t="s">
        <v>214</v>
      </c>
      <c r="I10" s="159" t="s">
        <v>1030</v>
      </c>
      <c r="J10" s="159" t="s">
        <v>627</v>
      </c>
      <c r="K10" s="129" t="s">
        <v>36</v>
      </c>
      <c r="L10" s="228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UP-CORE-MG14-PORT-1-To-LEAF1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15" thickBot="1">
      <c r="A11" s="56"/>
      <c r="B11" s="56" t="str">
        <f t="shared" si="1"/>
        <v>INVIHR11AMB1SAEU01NK</v>
      </c>
      <c r="C11" s="352"/>
      <c r="D11" s="173" t="s">
        <v>1241</v>
      </c>
      <c r="E11" s="11">
        <f>MG1VPRNs!E11</f>
        <v>1136</v>
      </c>
      <c r="F11" s="156" t="s">
        <v>987</v>
      </c>
      <c r="G11" s="163" t="s">
        <v>1003</v>
      </c>
      <c r="H11" s="163" t="s">
        <v>216</v>
      </c>
      <c r="I11" s="159" t="s">
        <v>1031</v>
      </c>
      <c r="J11" s="159" t="s">
        <v>629</v>
      </c>
      <c r="K11" s="129" t="s">
        <v>36</v>
      </c>
      <c r="L11" s="228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UP-CORE-MG14-PORT-2-To-LEAF2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1034</v>
      </c>
      <c r="G12" s="131" t="s">
        <v>1035</v>
      </c>
      <c r="H12" s="79"/>
      <c r="I12" s="159" t="s">
        <v>1032</v>
      </c>
      <c r="J12" s="56" t="s">
        <v>36</v>
      </c>
      <c r="K12" s="167"/>
      <c r="L12" s="228" t="s">
        <v>36</v>
      </c>
      <c r="M12" s="242"/>
      <c r="N12" s="72" t="s">
        <v>68</v>
      </c>
      <c r="O12" s="157" t="s">
        <v>83</v>
      </c>
      <c r="P12" s="52" t="str">
        <f>F12</f>
        <v>UP-CORE-MG-GRP-6-lo1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1036</v>
      </c>
      <c r="G13" s="131" t="s">
        <v>1037</v>
      </c>
      <c r="H13" s="79"/>
      <c r="I13" s="159" t="s">
        <v>1033</v>
      </c>
      <c r="J13" s="56" t="s">
        <v>36</v>
      </c>
      <c r="K13" s="167"/>
      <c r="L13" s="228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UP-CORE-MG-GRP-6-lo2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1062</v>
      </c>
      <c r="G14" s="212">
        <f>'[2]External Interfaces'!$L$15</f>
        <v>0</v>
      </c>
      <c r="H14" s="81"/>
      <c r="I14" s="75">
        <f>'[2]External Interfaces'!$M$15</f>
        <v>0</v>
      </c>
      <c r="J14" s="56" t="s">
        <v>36</v>
      </c>
      <c r="K14" s="156"/>
      <c r="L14" s="227" t="s">
        <v>1142</v>
      </c>
      <c r="M14" s="227"/>
      <c r="N14" s="72" t="str">
        <f>N12</f>
        <v>Loopback1</v>
      </c>
      <c r="O14" s="157" t="s">
        <v>83</v>
      </c>
      <c r="P14" s="52" t="str">
        <f>F14</f>
        <v>UP-CORE-MG-GRP-6-S1u-SGW_S5-lo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prefix_vprn106</v>
      </c>
      <c r="AB14" s="56" t="str">
        <f>AB8</f>
        <v>vprn106_export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1063</v>
      </c>
      <c r="G15" s="83">
        <f>'[2]External Interfaces'!$L$24</f>
        <v>0</v>
      </c>
      <c r="H15" s="81"/>
      <c r="I15" s="207">
        <f>'[2]External Interfaces'!$M$24</f>
        <v>0</v>
      </c>
      <c r="J15" s="84" t="s">
        <v>36</v>
      </c>
      <c r="K15" s="157"/>
      <c r="L15" s="227" t="s">
        <v>1143</v>
      </c>
      <c r="M15" s="240"/>
      <c r="N15" s="85" t="str">
        <f>N13</f>
        <v>Loopback1</v>
      </c>
      <c r="O15" s="157" t="s">
        <v>83</v>
      </c>
      <c r="P15" s="52" t="str">
        <f>F15</f>
        <v>UP-CORE-MG-GRP-6-PGW_S5-S8-lo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prefix_vprn106</v>
      </c>
      <c r="AB15" s="87" t="str">
        <f>AB8</f>
        <v>vprn106_export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172" t="s">
        <v>1238</v>
      </c>
      <c r="E17" s="28">
        <f>MG1VPRNs!E17</f>
        <v>1107</v>
      </c>
      <c r="F17" s="161" t="s">
        <v>1080</v>
      </c>
      <c r="G17" s="163" t="s">
        <v>1064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28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UP-INTERNET-MG13-PORT-1-To-LEAF1</v>
      </c>
      <c r="Q17" s="162">
        <v>206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prefix_vprn206</v>
      </c>
      <c r="AB17" s="74" t="str">
        <f>"vprn"&amp;Q17&amp;"_export"</f>
        <v>vprn206_export</v>
      </c>
      <c r="AC17" s="74"/>
      <c r="AD17" s="74" t="str">
        <f>LEFT(G21,FIND("/",G21)-1)</f>
        <v>192.168.3.59</v>
      </c>
      <c r="AE17" s="74" t="str">
        <f>LEFT(G22,FIND("/",G22)-1)</f>
        <v>192.168.3.61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173" t="s">
        <v>1239</v>
      </c>
      <c r="E18" s="11">
        <f>MG1VPRNs!E18</f>
        <v>1117</v>
      </c>
      <c r="F18" s="156" t="s">
        <v>1081</v>
      </c>
      <c r="G18" s="163" t="s">
        <v>1065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28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UP-INTERNET-MG13-PORT-2-To-LEAF2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>
      <c r="A19" s="56"/>
      <c r="B19" s="56" t="str">
        <f t="shared" ref="B19:B22" si="7">B18</f>
        <v>INVIHR11AMB1SAEU01NK</v>
      </c>
      <c r="C19" s="378"/>
      <c r="D19" s="173" t="s">
        <v>1240</v>
      </c>
      <c r="E19" s="11">
        <f>MG1VPRNs!E19</f>
        <v>1127</v>
      </c>
      <c r="F19" s="156" t="s">
        <v>1088</v>
      </c>
      <c r="G19" s="163" t="s">
        <v>1066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28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UP-INTERNET-MG14-PORT-1-To-LEAF1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>
      <c r="A20" s="56"/>
      <c r="B20" s="56" t="str">
        <f t="shared" si="7"/>
        <v>INVIHR11AMB1SAEU01NK</v>
      </c>
      <c r="C20" s="378"/>
      <c r="D20" s="173" t="s">
        <v>1241</v>
      </c>
      <c r="E20" s="11">
        <f>MG1VPRNs!E20</f>
        <v>1137</v>
      </c>
      <c r="F20" s="156" t="s">
        <v>1089</v>
      </c>
      <c r="G20" s="163" t="s">
        <v>1067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28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UP-INTERNET-MG14-PORT-2-To-LEAF2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1096</v>
      </c>
      <c r="G21" s="131" t="s">
        <v>1144</v>
      </c>
      <c r="H21" s="79"/>
      <c r="I21" s="76" t="s">
        <v>36</v>
      </c>
      <c r="J21" s="211" t="s">
        <v>36</v>
      </c>
      <c r="K21" s="157"/>
      <c r="L21" s="228" t="s">
        <v>36</v>
      </c>
      <c r="M21" s="228"/>
      <c r="N21" s="72" t="s">
        <v>69</v>
      </c>
      <c r="O21" s="157" t="s">
        <v>83</v>
      </c>
      <c r="P21" s="52" t="str">
        <f>F21</f>
        <v>UP-INTERNET-MG-GRP-6-lo1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7"/>
      <c r="E22" s="79"/>
      <c r="F22" s="156" t="s">
        <v>1097</v>
      </c>
      <c r="G22" s="131" t="s">
        <v>1145</v>
      </c>
      <c r="H22" s="79"/>
      <c r="I22" s="76" t="s">
        <v>36</v>
      </c>
      <c r="J22" s="211" t="s">
        <v>36</v>
      </c>
      <c r="K22" s="157"/>
      <c r="L22" s="228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UP-INTERNET-MG-GRP-6-lo2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172" t="s">
        <v>1238</v>
      </c>
      <c r="E24" s="28">
        <f>MG1VPRNs!E24</f>
        <v>1108</v>
      </c>
      <c r="F24" s="161" t="s">
        <v>1082</v>
      </c>
      <c r="G24" s="163" t="s">
        <v>1106</v>
      </c>
      <c r="H24" s="163" t="s">
        <v>229</v>
      </c>
      <c r="I24" s="169" t="s">
        <v>1134</v>
      </c>
      <c r="J24" s="170" t="s">
        <v>637</v>
      </c>
      <c r="K24" s="129" t="s">
        <v>36</v>
      </c>
      <c r="L24" s="228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UP-IMS-MG13-PORT-1-To-LEAF2</v>
      </c>
      <c r="Q24" s="162">
        <v>306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prefix_vprn306</v>
      </c>
      <c r="AB24" s="74" t="str">
        <f>"vprn"&amp;Q24&amp;"_export"</f>
        <v>vprn306_export</v>
      </c>
      <c r="AC24" s="74"/>
      <c r="AD24" s="74" t="str">
        <f>LEFT(G28,FIND("/",G28)-1)</f>
        <v>192.168.3.95</v>
      </c>
      <c r="AE24" s="74" t="str">
        <f>LEFT(G29,FIND("/",G29)-1)</f>
        <v>192.168.3.97</v>
      </c>
      <c r="AF24" s="74" t="str">
        <f>LEFT(I28,FIND("/",I28)-1)</f>
        <v>2402:3a80:1fff:9::3c</v>
      </c>
      <c r="AG24" s="74" t="str">
        <f>LEFT(I29,FIND("/",I29)-1)</f>
        <v>2402:3a80:1fff:9::3e</v>
      </c>
      <c r="AH24" s="161">
        <v>300</v>
      </c>
      <c r="AI24" s="73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173" t="s">
        <v>1239</v>
      </c>
      <c r="E25" s="11">
        <f>MG1VPRNs!E25</f>
        <v>1118</v>
      </c>
      <c r="F25" s="156" t="s">
        <v>1083</v>
      </c>
      <c r="G25" s="163" t="s">
        <v>1107</v>
      </c>
      <c r="H25" s="163" t="s">
        <v>231</v>
      </c>
      <c r="I25" s="164" t="s">
        <v>1135</v>
      </c>
      <c r="J25" s="167" t="s">
        <v>639</v>
      </c>
      <c r="K25" s="129" t="s">
        <v>36</v>
      </c>
      <c r="L25" s="228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UP-IMS-MG13-PORT-2-To-LEAF2</v>
      </c>
      <c r="Q25" s="12" t="s">
        <v>36</v>
      </c>
      <c r="R25" s="52">
        <f t="shared" ref="R25:T27" si="10">R24</f>
        <v>100</v>
      </c>
      <c r="S25" s="52">
        <f t="shared" si="10"/>
        <v>100</v>
      </c>
      <c r="T25" s="52">
        <f t="shared" si="10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>
      <c r="A26" s="56"/>
      <c r="B26" s="56" t="str">
        <f t="shared" ref="B26:B29" si="11">B25</f>
        <v>INVIHR11AMB1SAEU01NK</v>
      </c>
      <c r="C26" s="378"/>
      <c r="D26" s="173" t="s">
        <v>1240</v>
      </c>
      <c r="E26" s="11">
        <f>MG1VPRNs!E26</f>
        <v>1128</v>
      </c>
      <c r="F26" s="156" t="s">
        <v>1090</v>
      </c>
      <c r="G26" s="163" t="s">
        <v>1108</v>
      </c>
      <c r="H26" s="163" t="s">
        <v>233</v>
      </c>
      <c r="I26" s="164" t="s">
        <v>1136</v>
      </c>
      <c r="J26" s="167" t="s">
        <v>641</v>
      </c>
      <c r="K26" s="129" t="s">
        <v>36</v>
      </c>
      <c r="L26" s="228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UP-IMS-MG14-PORT-1-To-LEAF2</v>
      </c>
      <c r="Q26" s="12" t="s">
        <v>36</v>
      </c>
      <c r="R26" s="52">
        <f t="shared" si="10"/>
        <v>100</v>
      </c>
      <c r="S26" s="52">
        <f t="shared" si="10"/>
        <v>100</v>
      </c>
      <c r="T26" s="52">
        <f t="shared" si="10"/>
        <v>3</v>
      </c>
      <c r="U26" s="52" t="str">
        <f>U25</f>
        <v>Static</v>
      </c>
      <c r="V26" s="52" t="str">
        <f t="shared" ref="V26:V27" si="12">V25</f>
        <v>0.0.0.0/0</v>
      </c>
      <c r="W26" s="254" t="str">
        <f>LEFT(H26,FIND("/",H26)-1)</f>
        <v>192.168.1.190</v>
      </c>
      <c r="X26" s="76" t="str">
        <f t="shared" ref="X26:X27" si="13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>
      <c r="A27" s="56"/>
      <c r="B27" s="56" t="str">
        <f t="shared" si="11"/>
        <v>INVIHR11AMB1SAEU01NK</v>
      </c>
      <c r="C27" s="378"/>
      <c r="D27" s="173" t="s">
        <v>1241</v>
      </c>
      <c r="E27" s="11">
        <f>MG1VPRNs!E27</f>
        <v>1138</v>
      </c>
      <c r="F27" s="156" t="s">
        <v>1091</v>
      </c>
      <c r="G27" s="163" t="s">
        <v>1109</v>
      </c>
      <c r="H27" s="163" t="s">
        <v>235</v>
      </c>
      <c r="I27" s="165" t="s">
        <v>1137</v>
      </c>
      <c r="J27" s="168" t="s">
        <v>643</v>
      </c>
      <c r="K27" s="129" t="s">
        <v>36</v>
      </c>
      <c r="L27" s="228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UP-IMS-MG14-PORT-2-To-LEAF2</v>
      </c>
      <c r="Q27" s="12" t="s">
        <v>36</v>
      </c>
      <c r="R27" s="52">
        <f t="shared" si="10"/>
        <v>100</v>
      </c>
      <c r="S27" s="52">
        <f t="shared" si="10"/>
        <v>100</v>
      </c>
      <c r="T27" s="52">
        <f t="shared" si="10"/>
        <v>3</v>
      </c>
      <c r="U27" s="87" t="str">
        <f>U26</f>
        <v>Static</v>
      </c>
      <c r="V27" s="52" t="str">
        <f t="shared" si="12"/>
        <v>0.0.0.0/0</v>
      </c>
      <c r="W27" s="254" t="str">
        <f>LEFT(H27,FIND("/",H27)-1)</f>
        <v>192.168.2.190</v>
      </c>
      <c r="X27" s="76" t="str">
        <f t="shared" si="13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1"/>
        <v>INVIHR11AMB1SAEU01NK</v>
      </c>
      <c r="C28" s="378"/>
      <c r="D28" s="27"/>
      <c r="E28" s="56"/>
      <c r="F28" s="156" t="s">
        <v>1098</v>
      </c>
      <c r="G28" s="131" t="s">
        <v>1192</v>
      </c>
      <c r="H28" s="79"/>
      <c r="I28" s="156" t="s">
        <v>1190</v>
      </c>
      <c r="J28" s="56" t="s">
        <v>36</v>
      </c>
      <c r="K28" s="157"/>
      <c r="L28" s="228" t="s">
        <v>36</v>
      </c>
      <c r="M28" s="228"/>
      <c r="N28" s="72" t="s">
        <v>70</v>
      </c>
      <c r="O28" s="157" t="s">
        <v>83</v>
      </c>
      <c r="P28" s="52" t="str">
        <f>F28</f>
        <v>UP-IMS-MG-GRP-6-lo1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1"/>
        <v>INVIHR11AMB1SAEU01NK</v>
      </c>
      <c r="C29" s="378"/>
      <c r="D29" s="27"/>
      <c r="E29" s="56"/>
      <c r="F29" s="156" t="s">
        <v>1099</v>
      </c>
      <c r="G29" s="131" t="s">
        <v>1193</v>
      </c>
      <c r="H29" s="79"/>
      <c r="I29" s="156" t="s">
        <v>1191</v>
      </c>
      <c r="J29" s="56" t="s">
        <v>36</v>
      </c>
      <c r="K29" s="157"/>
      <c r="L29" s="228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UP-IMS-MG-GRP-6-lo2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71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172" t="s">
        <v>1238</v>
      </c>
      <c r="E31" s="204">
        <f>MG1VPRNs!E31</f>
        <v>1500</v>
      </c>
      <c r="F31" s="159" t="s">
        <v>1084</v>
      </c>
      <c r="G31" s="73" t="s">
        <v>36</v>
      </c>
      <c r="H31" s="73" t="str">
        <f t="shared" ref="H31:H40" si="14">G31</f>
        <v>NA</v>
      </c>
      <c r="I31" s="159" t="s">
        <v>1246</v>
      </c>
      <c r="J31" s="159" t="s">
        <v>691</v>
      </c>
      <c r="K31" s="129" t="s">
        <v>36</v>
      </c>
      <c r="L31" s="228" t="s">
        <v>36</v>
      </c>
      <c r="M31" s="132" t="s">
        <v>36</v>
      </c>
      <c r="N31" s="88" t="s">
        <v>67</v>
      </c>
      <c r="O31" s="73"/>
      <c r="P31" s="52" t="str">
        <f t="shared" ref="P31:P38" si="15">""&amp;F31&amp;"-To-LEAF2"</f>
        <v>Non-NAT-IPv6-MG13-PORT-1-To-LEAF2</v>
      </c>
      <c r="Q31" s="162">
        <v>1306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6">LEFT(J31,FIND("/",J31)-1)</f>
        <v>2402:3a80:1fff:5::1</v>
      </c>
      <c r="Z31" s="77">
        <f>Z24</f>
        <v>65010</v>
      </c>
      <c r="AA31" s="73" t="str">
        <f>"prefix_vprn"&amp;Q31&amp;""</f>
        <v>prefix_vprn1306</v>
      </c>
      <c r="AB31" s="74" t="str">
        <f>"vprn"&amp;Q31&amp;"_export"</f>
        <v>vprn1306_export</v>
      </c>
      <c r="AC31" s="74"/>
      <c r="AD31" s="74" t="s">
        <v>36</v>
      </c>
      <c r="AE31" s="74" t="s">
        <v>36</v>
      </c>
      <c r="AF31" s="74" t="str">
        <f>LEFT(I34,FIND("/",I34)-1)</f>
        <v>2402:3a80:1fff:8::8</v>
      </c>
      <c r="AG31" s="74" t="str">
        <f>LEFT(I39,FIND("/",I39)-1)</f>
        <v>2402:3a80:1fff:9::16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173" t="s">
        <v>1239</v>
      </c>
      <c r="E32" s="204">
        <f>MG1VPRNs!E32</f>
        <v>1510</v>
      </c>
      <c r="F32" s="159" t="s">
        <v>1085</v>
      </c>
      <c r="G32" s="56" t="s">
        <v>36</v>
      </c>
      <c r="H32" s="56" t="str">
        <f t="shared" si="14"/>
        <v>NA</v>
      </c>
      <c r="I32" s="159" t="s">
        <v>1247</v>
      </c>
      <c r="J32" s="159" t="s">
        <v>693</v>
      </c>
      <c r="K32" s="129" t="s">
        <v>36</v>
      </c>
      <c r="L32" s="228" t="s">
        <v>36</v>
      </c>
      <c r="M32" s="132" t="s">
        <v>36</v>
      </c>
      <c r="N32" s="72" t="str">
        <f>N31</f>
        <v>Physical4</v>
      </c>
      <c r="O32" s="56"/>
      <c r="P32" s="52" t="str">
        <f t="shared" si="15"/>
        <v>Non-NAT-IPv6-MG13-PORT-2-To-LEAF2</v>
      </c>
      <c r="Q32" s="12" t="s">
        <v>36</v>
      </c>
      <c r="R32" s="52">
        <f t="shared" ref="R32:U38" si="17">R31</f>
        <v>100</v>
      </c>
      <c r="S32" s="52">
        <f t="shared" si="17"/>
        <v>100</v>
      </c>
      <c r="T32" s="52">
        <f t="shared" si="17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6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8">B32</f>
        <v>INVIHR11AMB1SAEU01NK</v>
      </c>
      <c r="C33" s="376"/>
      <c r="D33" s="173" t="s">
        <v>1240</v>
      </c>
      <c r="E33" s="204">
        <f>MG1VPRNs!E33</f>
        <v>1520</v>
      </c>
      <c r="F33" s="159" t="s">
        <v>1092</v>
      </c>
      <c r="G33" s="56" t="s">
        <v>36</v>
      </c>
      <c r="H33" s="56" t="str">
        <f t="shared" si="14"/>
        <v>NA</v>
      </c>
      <c r="I33" s="159" t="s">
        <v>1248</v>
      </c>
      <c r="J33" s="159" t="s">
        <v>695</v>
      </c>
      <c r="K33" s="129" t="s">
        <v>36</v>
      </c>
      <c r="L33" s="228" t="s">
        <v>36</v>
      </c>
      <c r="M33" s="132" t="s">
        <v>36</v>
      </c>
      <c r="N33" s="72" t="str">
        <f>N31</f>
        <v>Physical4</v>
      </c>
      <c r="O33" s="56"/>
      <c r="P33" s="52" t="str">
        <f t="shared" si="15"/>
        <v>Non-NAT-IPv6-MG14-PORT-1-To-LEAF2</v>
      </c>
      <c r="Q33" s="12" t="s">
        <v>36</v>
      </c>
      <c r="R33" s="52">
        <f t="shared" si="17"/>
        <v>100</v>
      </c>
      <c r="S33" s="52">
        <f t="shared" si="17"/>
        <v>100</v>
      </c>
      <c r="T33" s="52">
        <f t="shared" si="17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19">X32</f>
        <v>::/0</v>
      </c>
      <c r="Y33" s="18" t="str">
        <f t="shared" si="16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8"/>
        <v>INVIHR11AMB1SAEU01NK</v>
      </c>
      <c r="C34" s="376"/>
      <c r="D34" s="173" t="s">
        <v>1241</v>
      </c>
      <c r="E34" s="204">
        <f>MG1VPRNs!E34</f>
        <v>1530</v>
      </c>
      <c r="F34" s="159" t="s">
        <v>1093</v>
      </c>
      <c r="G34" s="56" t="s">
        <v>36</v>
      </c>
      <c r="H34" s="56" t="str">
        <f t="shared" si="14"/>
        <v>NA</v>
      </c>
      <c r="I34" s="159" t="s">
        <v>1249</v>
      </c>
      <c r="J34" s="159" t="s">
        <v>697</v>
      </c>
      <c r="K34" s="129" t="s">
        <v>36</v>
      </c>
      <c r="L34" s="228" t="s">
        <v>36</v>
      </c>
      <c r="M34" s="132" t="s">
        <v>36</v>
      </c>
      <c r="N34" s="72" t="str">
        <f>N31</f>
        <v>Physical4</v>
      </c>
      <c r="O34" s="56"/>
      <c r="P34" s="52" t="str">
        <f t="shared" si="15"/>
        <v>Non-NAT-IPv6-MG14-PORT-2-To-LEAF2</v>
      </c>
      <c r="Q34" s="12" t="s">
        <v>36</v>
      </c>
      <c r="R34" s="52">
        <f t="shared" si="17"/>
        <v>100</v>
      </c>
      <c r="S34" s="52">
        <f t="shared" si="17"/>
        <v>100</v>
      </c>
      <c r="T34" s="52">
        <f t="shared" si="17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19"/>
        <v>::/0</v>
      </c>
      <c r="Y34" s="18" t="str">
        <f t="shared" si="16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8"/>
        <v>INVIHR11AMB1SAEU01NK</v>
      </c>
      <c r="C35" s="376"/>
      <c r="D35" s="172" t="s">
        <v>1238</v>
      </c>
      <c r="E35" s="205">
        <f>MG1VPRNs!E35</f>
        <v>1300</v>
      </c>
      <c r="F35" s="159" t="s">
        <v>1086</v>
      </c>
      <c r="G35" s="56" t="s">
        <v>36</v>
      </c>
      <c r="H35" s="56" t="str">
        <f t="shared" si="14"/>
        <v>NA</v>
      </c>
      <c r="I35" s="159" t="s">
        <v>1294</v>
      </c>
      <c r="J35" s="159" t="s">
        <v>1295</v>
      </c>
      <c r="K35" s="129" t="s">
        <v>36</v>
      </c>
      <c r="L35" s="228" t="s">
        <v>36</v>
      </c>
      <c r="M35" s="132" t="s">
        <v>36</v>
      </c>
      <c r="N35" s="72" t="str">
        <f t="shared" ref="N35:N38" si="20">N32</f>
        <v>Physical4</v>
      </c>
      <c r="O35" s="56"/>
      <c r="P35" s="52" t="str">
        <f t="shared" si="15"/>
        <v>TO-NAT-Redirect-MG13-PORT-1-To-LEAF2</v>
      </c>
      <c r="Q35" s="12" t="s">
        <v>36</v>
      </c>
      <c r="R35" s="52">
        <f t="shared" si="17"/>
        <v>100</v>
      </c>
      <c r="S35" s="52">
        <f t="shared" si="17"/>
        <v>100</v>
      </c>
      <c r="T35" s="52">
        <f t="shared" si="17"/>
        <v>3</v>
      </c>
      <c r="U35" s="52" t="str">
        <f t="shared" si="17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6"/>
        <v>2402:3a80:1fff:10::19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8"/>
        <v>INVIHR11AMB1SAEU01NK</v>
      </c>
      <c r="C36" s="376"/>
      <c r="D36" s="173" t="s">
        <v>1239</v>
      </c>
      <c r="E36" s="205">
        <f>MG1VPRNs!E36</f>
        <v>1310</v>
      </c>
      <c r="F36" s="159" t="s">
        <v>1087</v>
      </c>
      <c r="G36" s="56" t="s">
        <v>36</v>
      </c>
      <c r="H36" s="56" t="str">
        <f t="shared" si="14"/>
        <v>NA</v>
      </c>
      <c r="I36" s="159" t="s">
        <v>1296</v>
      </c>
      <c r="J36" s="159" t="s">
        <v>1297</v>
      </c>
      <c r="K36" s="129" t="s">
        <v>36</v>
      </c>
      <c r="L36" s="228" t="s">
        <v>36</v>
      </c>
      <c r="M36" s="132" t="s">
        <v>36</v>
      </c>
      <c r="N36" s="72" t="str">
        <f t="shared" si="20"/>
        <v>Physical4</v>
      </c>
      <c r="O36" s="56"/>
      <c r="P36" s="52" t="str">
        <f t="shared" si="15"/>
        <v>TO-NAT-Redirect-MG13-PORT-2-To-LEAF2</v>
      </c>
      <c r="Q36" s="12" t="s">
        <v>36</v>
      </c>
      <c r="R36" s="52">
        <f t="shared" si="17"/>
        <v>100</v>
      </c>
      <c r="S36" s="52">
        <f t="shared" si="17"/>
        <v>100</v>
      </c>
      <c r="T36" s="52">
        <f t="shared" si="17"/>
        <v>3</v>
      </c>
      <c r="U36" s="52" t="str">
        <f t="shared" si="17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6"/>
        <v>2402:3a80:1fff:11::19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8"/>
        <v>INVIHR11AMB1SAEU01NK</v>
      </c>
      <c r="C37" s="376"/>
      <c r="D37" s="173" t="s">
        <v>1240</v>
      </c>
      <c r="E37" s="205">
        <f>MG1VPRNs!E37</f>
        <v>1320</v>
      </c>
      <c r="F37" s="159" t="s">
        <v>1094</v>
      </c>
      <c r="G37" s="56" t="s">
        <v>36</v>
      </c>
      <c r="H37" s="56" t="str">
        <f t="shared" si="14"/>
        <v>NA</v>
      </c>
      <c r="I37" s="159" t="s">
        <v>1298</v>
      </c>
      <c r="J37" s="159" t="s">
        <v>1299</v>
      </c>
      <c r="K37" s="129" t="s">
        <v>36</v>
      </c>
      <c r="L37" s="228" t="s">
        <v>36</v>
      </c>
      <c r="M37" s="132" t="s">
        <v>36</v>
      </c>
      <c r="N37" s="72" t="str">
        <f t="shared" si="20"/>
        <v>Physical4</v>
      </c>
      <c r="O37" s="56"/>
      <c r="P37" s="52" t="str">
        <f t="shared" si="15"/>
        <v>TO-NAT-Redirect-MG14-PORT-1-To-LEAF2</v>
      </c>
      <c r="Q37" s="12" t="s">
        <v>36</v>
      </c>
      <c r="R37" s="52">
        <f t="shared" si="17"/>
        <v>100</v>
      </c>
      <c r="S37" s="52">
        <f t="shared" si="17"/>
        <v>100</v>
      </c>
      <c r="T37" s="52">
        <f t="shared" si="17"/>
        <v>3</v>
      </c>
      <c r="U37" s="52" t="str">
        <f t="shared" si="17"/>
        <v>Static</v>
      </c>
      <c r="V37" s="253" t="s">
        <v>36</v>
      </c>
      <c r="W37" s="253" t="s">
        <v>36</v>
      </c>
      <c r="X37" s="208" t="str">
        <f t="shared" ref="X37:X38" si="21">X36</f>
        <v>2402:3a80:1fff:3f::/96</v>
      </c>
      <c r="Y37" s="18" t="str">
        <f t="shared" si="16"/>
        <v>2402:3a80:1fff:12::19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8"/>
        <v>INVIHR11AMB1SAEU01NK</v>
      </c>
      <c r="C38" s="376"/>
      <c r="D38" s="173" t="s">
        <v>1241</v>
      </c>
      <c r="E38" s="205">
        <f>MG1VPRNs!E38</f>
        <v>1330</v>
      </c>
      <c r="F38" s="159" t="s">
        <v>1095</v>
      </c>
      <c r="G38" s="56" t="s">
        <v>36</v>
      </c>
      <c r="H38" s="56" t="str">
        <f t="shared" si="14"/>
        <v>NA</v>
      </c>
      <c r="I38" s="159" t="s">
        <v>1300</v>
      </c>
      <c r="J38" s="159" t="s">
        <v>1301</v>
      </c>
      <c r="K38" s="129" t="s">
        <v>36</v>
      </c>
      <c r="L38" s="228" t="s">
        <v>36</v>
      </c>
      <c r="M38" s="132" t="s">
        <v>36</v>
      </c>
      <c r="N38" s="72" t="str">
        <f t="shared" si="20"/>
        <v>Physical4</v>
      </c>
      <c r="O38" s="56"/>
      <c r="P38" s="52" t="str">
        <f t="shared" si="15"/>
        <v>TO-NAT-Redirect-MG14-PORT-2-To-LEAF2</v>
      </c>
      <c r="Q38" s="12" t="s">
        <v>36</v>
      </c>
      <c r="R38" s="52">
        <f t="shared" si="17"/>
        <v>100</v>
      </c>
      <c r="S38" s="52">
        <f t="shared" si="17"/>
        <v>100</v>
      </c>
      <c r="T38" s="52">
        <f t="shared" si="17"/>
        <v>3</v>
      </c>
      <c r="U38" s="52" t="str">
        <f t="shared" si="17"/>
        <v>Static</v>
      </c>
      <c r="V38" s="253" t="s">
        <v>36</v>
      </c>
      <c r="W38" s="253" t="s">
        <v>36</v>
      </c>
      <c r="X38" s="208" t="str">
        <f t="shared" si="21"/>
        <v>2402:3a80:1fff:3f::/96</v>
      </c>
      <c r="Y38" s="18" t="str">
        <f t="shared" si="16"/>
        <v>2402:3a80:1fff:13::19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1100</v>
      </c>
      <c r="G39" s="56" t="s">
        <v>36</v>
      </c>
      <c r="H39" s="56" t="str">
        <f t="shared" si="14"/>
        <v>NA</v>
      </c>
      <c r="I39" s="159" t="s">
        <v>1268</v>
      </c>
      <c r="J39" s="56"/>
      <c r="K39" s="156"/>
      <c r="L39" s="228" t="s">
        <v>36</v>
      </c>
      <c r="M39" s="228"/>
      <c r="N39" s="72" t="s">
        <v>72</v>
      </c>
      <c r="O39" s="156" t="s">
        <v>83</v>
      </c>
      <c r="P39" s="52" t="str">
        <f>F39</f>
        <v>NAT-IPv6-MG-GRP-6-lo1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8"/>
        <v>INVIHR11AMB1SAEU01NK</v>
      </c>
      <c r="C40" s="376"/>
      <c r="D40" s="56"/>
      <c r="E40" s="56"/>
      <c r="F40" s="159" t="s">
        <v>1101</v>
      </c>
      <c r="G40" s="56" t="s">
        <v>36</v>
      </c>
      <c r="H40" s="56" t="str">
        <f t="shared" si="14"/>
        <v>NA</v>
      </c>
      <c r="I40" s="159" t="s">
        <v>1269</v>
      </c>
      <c r="J40" s="56"/>
      <c r="K40" s="156"/>
      <c r="L40" s="228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NAT-IPv6-MG-GRP-6-lo2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8"/>
        <v>INVIHR11AMB1SAEU01NK</v>
      </c>
      <c r="C41" s="376"/>
      <c r="D41" s="84"/>
      <c r="E41" s="84"/>
      <c r="F41" s="203" t="s">
        <v>1102</v>
      </c>
      <c r="G41" s="207" t="str">
        <f>'[2]External Interfaces'!$H$63</f>
        <v>10.13.0.0/16</v>
      </c>
      <c r="H41" s="84" t="s">
        <v>36</v>
      </c>
      <c r="I41" s="207" t="str">
        <f>'[2]External Interfaces'!$I$63</f>
        <v>2402:3a80:13aa::/47</v>
      </c>
      <c r="J41" s="84"/>
      <c r="K41" s="157"/>
      <c r="L41" s="228" t="s">
        <v>36</v>
      </c>
      <c r="M41" s="243"/>
      <c r="N41" s="85" t="str">
        <f>N40</f>
        <v>Loopback4</v>
      </c>
      <c r="O41" s="157" t="s">
        <v>84</v>
      </c>
      <c r="P41" s="52" t="str">
        <f>F41</f>
        <v>www-pool6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prefix_vprn1306</v>
      </c>
      <c r="AB41" s="84" t="str">
        <f>AB31</f>
        <v>vprn1306_export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172" t="s">
        <v>1238</v>
      </c>
      <c r="E43" s="77">
        <f>MG1VPRNs!E43</f>
        <v>1400</v>
      </c>
      <c r="F43" s="159" t="s">
        <v>1377</v>
      </c>
      <c r="G43" s="73" t="s">
        <v>36</v>
      </c>
      <c r="H43" s="73" t="str">
        <f t="shared" ref="H43:H46" si="22">G43</f>
        <v>NA</v>
      </c>
      <c r="I43" s="159" t="s">
        <v>1302</v>
      </c>
      <c r="J43" s="159" t="s">
        <v>1303</v>
      </c>
      <c r="K43" s="194">
        <v>1406</v>
      </c>
      <c r="L43" s="228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IPv6-1406-MG13-to-WBX-1-To-1306</v>
      </c>
      <c r="Q43" s="162">
        <v>1406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 t="str">
        <f>I41</f>
        <v>2402:3a80:13aa::/47</v>
      </c>
      <c r="Y43" s="18" t="str">
        <f>LEFT(J43,FIND("/",J43)-1)</f>
        <v>2402:3a80:1fff:14::19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173" t="s">
        <v>1239</v>
      </c>
      <c r="E44" s="77">
        <f>MG1VPRNs!E44</f>
        <v>1410</v>
      </c>
      <c r="F44" s="159" t="s">
        <v>1378</v>
      </c>
      <c r="G44" s="56" t="s">
        <v>36</v>
      </c>
      <c r="H44" s="56" t="str">
        <f t="shared" si="22"/>
        <v>NA</v>
      </c>
      <c r="I44" s="159" t="s">
        <v>1304</v>
      </c>
      <c r="J44" s="159" t="s">
        <v>1305</v>
      </c>
      <c r="K44" s="194">
        <v>1406</v>
      </c>
      <c r="L44" s="228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IPv6-1406-MG13-to-WBX-2-To-1306</v>
      </c>
      <c r="Q44" s="12" t="s">
        <v>36</v>
      </c>
      <c r="R44" s="52">
        <f t="shared" ref="R44:T46" si="23">R43</f>
        <v>100</v>
      </c>
      <c r="S44" s="52">
        <f t="shared" si="23"/>
        <v>100</v>
      </c>
      <c r="T44" s="52">
        <f t="shared" si="23"/>
        <v>3</v>
      </c>
      <c r="U44" s="52" t="str">
        <f>U43</f>
        <v>Static</v>
      </c>
      <c r="V44" s="253" t="s">
        <v>36</v>
      </c>
      <c r="W44" s="253" t="s">
        <v>36</v>
      </c>
      <c r="X44" s="10" t="str">
        <f>X43</f>
        <v>2402:3a80:13aa::/47</v>
      </c>
      <c r="Y44" s="10" t="str">
        <f>LEFT(J44,FIND("/",J44)-1)</f>
        <v>2402:3a80:1fff:15::19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4">B44</f>
        <v>INVIHR11AMB1SAEU01NK</v>
      </c>
      <c r="C45" s="376"/>
      <c r="D45" s="173" t="s">
        <v>1240</v>
      </c>
      <c r="E45" s="77">
        <f>MG1VPRNs!E45</f>
        <v>1420</v>
      </c>
      <c r="F45" s="159" t="s">
        <v>1379</v>
      </c>
      <c r="G45" s="56" t="s">
        <v>36</v>
      </c>
      <c r="H45" s="56" t="str">
        <f t="shared" si="22"/>
        <v>NA</v>
      </c>
      <c r="I45" s="159" t="s">
        <v>1306</v>
      </c>
      <c r="J45" s="159" t="s">
        <v>1307</v>
      </c>
      <c r="K45" s="194">
        <v>1406</v>
      </c>
      <c r="L45" s="228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IPv6-1406-MG14-to-WBX-1-To-1306</v>
      </c>
      <c r="Q45" s="12" t="s">
        <v>36</v>
      </c>
      <c r="R45" s="52">
        <f t="shared" si="23"/>
        <v>100</v>
      </c>
      <c r="S45" s="52">
        <f t="shared" si="23"/>
        <v>100</v>
      </c>
      <c r="T45" s="52">
        <f t="shared" si="23"/>
        <v>3</v>
      </c>
      <c r="U45" s="52" t="str">
        <f>U44</f>
        <v>Static</v>
      </c>
      <c r="V45" s="253" t="s">
        <v>36</v>
      </c>
      <c r="W45" s="253" t="s">
        <v>36</v>
      </c>
      <c r="X45" s="10" t="str">
        <f t="shared" ref="X45:X46" si="25">X44</f>
        <v>2402:3a80:13aa::/47</v>
      </c>
      <c r="Y45" s="10" t="str">
        <f>LEFT(J45,FIND("/",J45)-1)</f>
        <v>2402:3a80:1fff:16::19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4"/>
        <v>INVIHR11AMB1SAEU01NK</v>
      </c>
      <c r="C46" s="376"/>
      <c r="D46" s="173" t="s">
        <v>1241</v>
      </c>
      <c r="E46" s="210">
        <f>MG1VPRNs!E46</f>
        <v>1430</v>
      </c>
      <c r="F46" s="159" t="s">
        <v>1380</v>
      </c>
      <c r="G46" s="56" t="s">
        <v>36</v>
      </c>
      <c r="H46" s="56" t="str">
        <f t="shared" si="22"/>
        <v>NA</v>
      </c>
      <c r="I46" s="159" t="s">
        <v>1308</v>
      </c>
      <c r="J46" s="159" t="s">
        <v>1309</v>
      </c>
      <c r="K46" s="194">
        <v>1406</v>
      </c>
      <c r="L46" s="228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IPv6-1406-MG14-to-WBX-2-To-1306</v>
      </c>
      <c r="Q46" s="14" t="s">
        <v>36</v>
      </c>
      <c r="R46" s="87">
        <f t="shared" si="23"/>
        <v>100</v>
      </c>
      <c r="S46" s="87">
        <f t="shared" si="23"/>
        <v>100</v>
      </c>
      <c r="T46" s="87">
        <f t="shared" si="23"/>
        <v>3</v>
      </c>
      <c r="U46" s="87" t="str">
        <f>U45</f>
        <v>Static</v>
      </c>
      <c r="V46" s="145" t="s">
        <v>36</v>
      </c>
      <c r="W46" s="145" t="s">
        <v>36</v>
      </c>
      <c r="X46" s="10" t="str">
        <f t="shared" si="25"/>
        <v>2402:3a80:13aa::/47</v>
      </c>
      <c r="Y46" s="202" t="str">
        <f>LEFT(J46,FIND("/",J46)-1)</f>
        <v>2402:3a80:1fff:17::19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71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U8:U29 U31:U40 U43:U46" xr:uid="{1710F5C9-B7C8-4832-93A0-68060435E7C8}">
      <formula1>$U$1:$U$3</formula1>
    </dataValidation>
    <dataValidation type="list" allowBlank="1" showInputMessage="1" showErrorMessage="1" sqref="AC8:AC29 AC31:AC41 AC43:AC46" xr:uid="{C268099A-AD5B-48FA-9619-4F62BC5A14FA}">
      <formula1>$AC$1:$AC$3</formula1>
    </dataValidation>
    <dataValidation type="list" allowBlank="1" showInputMessage="1" showErrorMessage="1" sqref="O8:O29 O39:O41" xr:uid="{008E3C63-100D-4DC4-B424-28E7240A0917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B48E-A04A-4715-A449-489D6B2114B9}">
  <sheetPr codeName="Sheet27"/>
  <dimension ref="A1:AI47"/>
  <sheetViews>
    <sheetView topLeftCell="P26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6.109375" bestFit="1" customWidth="1"/>
    <col min="5" max="5" width="6.5546875" bestFit="1" customWidth="1"/>
    <col min="6" max="6" width="29.6640625" bestFit="1" customWidth="1"/>
    <col min="7" max="7" width="15.33203125" bestFit="1" customWidth="1"/>
    <col min="8" max="8" width="8.5546875" bestFit="1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0" width="11.33203125" bestFit="1" customWidth="1"/>
    <col min="31" max="31" width="12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 ht="26.4">
      <c r="A8" s="73"/>
      <c r="B8" s="122" t="str">
        <f>MG1VPRNs!B8</f>
        <v>INVIHR11AMB1SAEU01NK</v>
      </c>
      <c r="C8" s="352" t="s">
        <v>217</v>
      </c>
      <c r="D8" s="172" t="s">
        <v>1242</v>
      </c>
      <c r="E8" s="11">
        <f>MG1VPRNs!E8</f>
        <v>1106</v>
      </c>
      <c r="F8" s="156" t="s">
        <v>988</v>
      </c>
      <c r="G8" s="163" t="s">
        <v>1004</v>
      </c>
      <c r="H8" s="163" t="s">
        <v>210</v>
      </c>
      <c r="I8" s="159" t="s">
        <v>1024</v>
      </c>
      <c r="J8" s="159" t="s">
        <v>623</v>
      </c>
      <c r="K8" s="129" t="s">
        <v>36</v>
      </c>
      <c r="L8" s="228" t="s">
        <v>36</v>
      </c>
      <c r="M8" s="132">
        <v>1600</v>
      </c>
      <c r="N8" s="72" t="s">
        <v>64</v>
      </c>
      <c r="O8" s="74"/>
      <c r="P8" s="52" t="str">
        <f>""&amp;F8&amp;"-To-LEAF1"</f>
        <v>UP-CORE-MG15-PORT-1-To-LEAF1</v>
      </c>
      <c r="Q8" s="162">
        <v>107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prefix_vprn107</v>
      </c>
      <c r="AB8" s="74" t="str">
        <f>"vprn"&amp;Q8&amp;"_export"</f>
        <v>vprn107_export</v>
      </c>
      <c r="AC8" s="74"/>
      <c r="AD8" s="74" t="str">
        <f>LEFT(G12,FIND("/",G12)-1)</f>
        <v>192.168.3.25</v>
      </c>
      <c r="AE8" s="74" t="str">
        <f>LEFT(G13,FIND("/",G13)-1)</f>
        <v>192.168.3.27</v>
      </c>
      <c r="AF8" s="74" t="str">
        <f>LEFT(I12,FIND("/",I12)-1)</f>
        <v>2402:3a80:1fff:9::69</v>
      </c>
      <c r="AG8" s="74" t="str">
        <f>LEFT(I13,FIND("/",I13)-1)</f>
        <v>2402:3a80:1fff:9::6b</v>
      </c>
      <c r="AH8" s="161">
        <v>100</v>
      </c>
      <c r="AI8" s="73" t="str">
        <f>"vprn"&amp;AH8&amp;"_import"</f>
        <v>vprn100_import</v>
      </c>
    </row>
    <row r="9" spans="1:35" ht="26.4">
      <c r="A9" s="56"/>
      <c r="B9" s="56" t="str">
        <f>B8</f>
        <v>INVIHR11AMB1SAEU01NK</v>
      </c>
      <c r="C9" s="352"/>
      <c r="D9" s="173" t="s">
        <v>1243</v>
      </c>
      <c r="E9" s="11">
        <f>MG1VPRNs!E9</f>
        <v>1116</v>
      </c>
      <c r="F9" s="156" t="s">
        <v>989</v>
      </c>
      <c r="G9" s="163" t="s">
        <v>1005</v>
      </c>
      <c r="H9" s="163" t="s">
        <v>212</v>
      </c>
      <c r="I9" s="159" t="s">
        <v>1025</v>
      </c>
      <c r="J9" s="159" t="s">
        <v>625</v>
      </c>
      <c r="K9" s="129" t="s">
        <v>36</v>
      </c>
      <c r="L9" s="228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UP-CORE-MG15-PORT-2-To-LEAF2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 ht="26.4">
      <c r="A10" s="56"/>
      <c r="B10" s="56" t="str">
        <f t="shared" ref="B10:B14" si="1">B9</f>
        <v>INVIHR11AMB1SAEU01NK</v>
      </c>
      <c r="C10" s="352"/>
      <c r="D10" s="173" t="s">
        <v>1244</v>
      </c>
      <c r="E10" s="11">
        <f>MG1VPRNs!E10</f>
        <v>1126</v>
      </c>
      <c r="F10" s="156" t="s">
        <v>990</v>
      </c>
      <c r="G10" s="163" t="s">
        <v>1006</v>
      </c>
      <c r="H10" s="163" t="s">
        <v>214</v>
      </c>
      <c r="I10" s="159" t="s">
        <v>1026</v>
      </c>
      <c r="J10" s="159" t="s">
        <v>627</v>
      </c>
      <c r="K10" s="129" t="s">
        <v>36</v>
      </c>
      <c r="L10" s="228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UP-CORE-MG16-PORT-1-To-LEAF1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27" thickBot="1">
      <c r="A11" s="56"/>
      <c r="B11" s="56" t="str">
        <f t="shared" si="1"/>
        <v>INVIHR11AMB1SAEU01NK</v>
      </c>
      <c r="C11" s="352"/>
      <c r="D11" s="173" t="s">
        <v>1245</v>
      </c>
      <c r="E11" s="11">
        <f>MG1VPRNs!E11</f>
        <v>1136</v>
      </c>
      <c r="F11" s="156" t="s">
        <v>991</v>
      </c>
      <c r="G11" s="163" t="s">
        <v>1007</v>
      </c>
      <c r="H11" s="163" t="s">
        <v>216</v>
      </c>
      <c r="I11" s="159" t="s">
        <v>1027</v>
      </c>
      <c r="J11" s="159" t="s">
        <v>629</v>
      </c>
      <c r="K11" s="129" t="s">
        <v>36</v>
      </c>
      <c r="L11" s="228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UP-CORE-MG16-PORT-2-To-LEAF2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1038</v>
      </c>
      <c r="G12" s="131" t="s">
        <v>1039</v>
      </c>
      <c r="H12" s="79"/>
      <c r="I12" s="159" t="s">
        <v>1042</v>
      </c>
      <c r="J12" s="56" t="s">
        <v>36</v>
      </c>
      <c r="K12" s="167"/>
      <c r="L12" s="228" t="s">
        <v>36</v>
      </c>
      <c r="M12" s="242"/>
      <c r="N12" s="72" t="s">
        <v>68</v>
      </c>
      <c r="O12" s="157" t="s">
        <v>83</v>
      </c>
      <c r="P12" s="52" t="str">
        <f>F12</f>
        <v>UP-CORE-MG-GRP-7-lo1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1040</v>
      </c>
      <c r="G13" s="131" t="s">
        <v>1041</v>
      </c>
      <c r="H13" s="79"/>
      <c r="I13" s="159" t="s">
        <v>1043</v>
      </c>
      <c r="J13" s="56" t="s">
        <v>36</v>
      </c>
      <c r="K13" s="167"/>
      <c r="L13" s="228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UP-CORE-MG-GRP-7-lo2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1060</v>
      </c>
      <c r="G14" s="212">
        <f>'[2]External Interfaces'!$L$16</f>
        <v>0</v>
      </c>
      <c r="H14" s="81"/>
      <c r="I14" s="75">
        <f>'[2]External Interfaces'!$M$16</f>
        <v>0</v>
      </c>
      <c r="J14" s="56" t="s">
        <v>36</v>
      </c>
      <c r="K14" s="156"/>
      <c r="L14" s="227" t="s">
        <v>1358</v>
      </c>
      <c r="M14" s="227"/>
      <c r="N14" s="72" t="str">
        <f>N12</f>
        <v>Loopback1</v>
      </c>
      <c r="O14" s="157" t="s">
        <v>83</v>
      </c>
      <c r="P14" s="52" t="str">
        <f>F14</f>
        <v>UP-CORE-MG-GRP-7-S1u-SGW_S5-lo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prefix_vprn107</v>
      </c>
      <c r="AB14" s="56" t="str">
        <f>AB8</f>
        <v>vprn107_export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1061</v>
      </c>
      <c r="G15" s="83">
        <f>'[2]External Interfaces'!$L$25</f>
        <v>0</v>
      </c>
      <c r="H15" s="81"/>
      <c r="I15" s="207">
        <f>'[2]External Interfaces'!$M$25</f>
        <v>0</v>
      </c>
      <c r="J15" s="84" t="s">
        <v>36</v>
      </c>
      <c r="K15" s="157"/>
      <c r="L15" s="227" t="s">
        <v>1359</v>
      </c>
      <c r="M15" s="240"/>
      <c r="N15" s="85" t="str">
        <f>N13</f>
        <v>Loopback1</v>
      </c>
      <c r="O15" s="157" t="s">
        <v>83</v>
      </c>
      <c r="P15" s="52" t="str">
        <f>F15</f>
        <v>UP-CORE-MG-GRP-7-PGW_S5-S8-lo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prefix_vprn107</v>
      </c>
      <c r="AB15" s="87" t="str">
        <f>AB8</f>
        <v>vprn107_export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 ht="26.4">
      <c r="A17" s="73"/>
      <c r="B17" s="122" t="str">
        <f>B8</f>
        <v>INVIHR11AMB1SAEU01NK</v>
      </c>
      <c r="C17" s="377" t="s">
        <v>226</v>
      </c>
      <c r="D17" s="172" t="s">
        <v>1242</v>
      </c>
      <c r="E17" s="28">
        <f>MG1VPRNs!E17</f>
        <v>1107</v>
      </c>
      <c r="F17" s="161" t="s">
        <v>1200</v>
      </c>
      <c r="G17" s="163" t="s">
        <v>1068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28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UP-INTERNET-MG15-PORT-1-To-LEAF1</v>
      </c>
      <c r="Q17" s="162">
        <v>207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prefix_vprn207</v>
      </c>
      <c r="AB17" s="74" t="str">
        <f>"vprn"&amp;Q17&amp;"_export"</f>
        <v>vprn207_export</v>
      </c>
      <c r="AC17" s="74"/>
      <c r="AD17" s="74" t="str">
        <f>LEFT(G21,FIND("/",G21)-1)</f>
        <v>192.168.3.63</v>
      </c>
      <c r="AE17" s="74" t="str">
        <f>LEFT(G22,FIND("/",G22)-1)</f>
        <v>192.168.3.65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 ht="26.4">
      <c r="A18" s="56"/>
      <c r="B18" s="56" t="str">
        <f>B17</f>
        <v>INVIHR11AMB1SAEU01NK</v>
      </c>
      <c r="C18" s="378"/>
      <c r="D18" s="173" t="s">
        <v>1243</v>
      </c>
      <c r="E18" s="11">
        <f>MG1VPRNs!E18</f>
        <v>1117</v>
      </c>
      <c r="F18" s="156" t="s">
        <v>1201</v>
      </c>
      <c r="G18" s="163" t="s">
        <v>1069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28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UP-INTERNET-MG15-PORT-2-To-LEAF2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 ht="26.4">
      <c r="A19" s="56"/>
      <c r="B19" s="56" t="str">
        <f t="shared" ref="B19:B22" si="7">B18</f>
        <v>INVIHR11AMB1SAEU01NK</v>
      </c>
      <c r="C19" s="378"/>
      <c r="D19" s="173" t="s">
        <v>1244</v>
      </c>
      <c r="E19" s="11">
        <f>MG1VPRNs!E19</f>
        <v>1127</v>
      </c>
      <c r="F19" s="156" t="s">
        <v>1208</v>
      </c>
      <c r="G19" s="163" t="s">
        <v>1070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28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UP-INTERNET-MG16-PORT-1-To-LEAF1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 ht="26.4">
      <c r="A20" s="56"/>
      <c r="B20" s="56" t="str">
        <f t="shared" si="7"/>
        <v>INVIHR11AMB1SAEU01NK</v>
      </c>
      <c r="C20" s="378"/>
      <c r="D20" s="173" t="s">
        <v>1245</v>
      </c>
      <c r="E20" s="11">
        <f>MG1VPRNs!E20</f>
        <v>1137</v>
      </c>
      <c r="F20" s="156" t="s">
        <v>1209</v>
      </c>
      <c r="G20" s="163" t="s">
        <v>1071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28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UP-INTERNET-MG16-PORT-2-To-LEAF2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1194</v>
      </c>
      <c r="G21" s="131" t="s">
        <v>1146</v>
      </c>
      <c r="H21" s="79"/>
      <c r="I21" s="76" t="s">
        <v>36</v>
      </c>
      <c r="J21" s="211" t="s">
        <v>36</v>
      </c>
      <c r="K21" s="157"/>
      <c r="L21" s="228" t="s">
        <v>36</v>
      </c>
      <c r="M21" s="228"/>
      <c r="N21" s="72" t="s">
        <v>69</v>
      </c>
      <c r="O21" s="157" t="s">
        <v>83</v>
      </c>
      <c r="P21" s="52" t="str">
        <f>F21</f>
        <v>UP-INTERNET-MG-GRP-7-lo1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7"/>
      <c r="E22" s="79"/>
      <c r="F22" s="156" t="s">
        <v>1195</v>
      </c>
      <c r="G22" s="131" t="s">
        <v>1147</v>
      </c>
      <c r="H22" s="79"/>
      <c r="I22" s="76" t="s">
        <v>36</v>
      </c>
      <c r="J22" s="211" t="s">
        <v>36</v>
      </c>
      <c r="K22" s="157"/>
      <c r="L22" s="228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UP-INTERNET-MG-GRP-7-lo2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 ht="26.4">
      <c r="A24" s="73"/>
      <c r="B24" s="122" t="str">
        <f>B8</f>
        <v>INVIHR11AMB1SAEU01NK</v>
      </c>
      <c r="C24" s="377" t="s">
        <v>227</v>
      </c>
      <c r="D24" s="172" t="s">
        <v>1242</v>
      </c>
      <c r="E24" s="28">
        <f>MG1VPRNs!E24</f>
        <v>1108</v>
      </c>
      <c r="F24" s="161" t="s">
        <v>1202</v>
      </c>
      <c r="G24" s="163" t="s">
        <v>1110</v>
      </c>
      <c r="H24" s="163" t="s">
        <v>229</v>
      </c>
      <c r="I24" s="169" t="s">
        <v>1130</v>
      </c>
      <c r="J24" s="170" t="s">
        <v>637</v>
      </c>
      <c r="K24" s="129" t="s">
        <v>36</v>
      </c>
      <c r="L24" s="228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UP-IMS-MG15-PORT-1-To-LEAF2</v>
      </c>
      <c r="Q24" s="162">
        <v>307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prefix_vprn307</v>
      </c>
      <c r="AB24" s="74" t="str">
        <f>"vprn"&amp;Q24&amp;"_export"</f>
        <v>vprn307_export</v>
      </c>
      <c r="AC24" s="74"/>
      <c r="AD24" s="74" t="str">
        <f>LEFT(G28,FIND("/",G28)-1)</f>
        <v>192.168.3.99</v>
      </c>
      <c r="AE24" s="74" t="str">
        <f>LEFT(G29,FIND("/",G29)-1)</f>
        <v>192.168.3.101</v>
      </c>
      <c r="AF24" s="74" t="str">
        <f>LEFT(I28,FIND("/",I28)-1)</f>
        <v>2402:3a80:1fff:9::41</v>
      </c>
      <c r="AG24" s="74" t="str">
        <f>LEFT(I29,FIND("/",I29)-1)</f>
        <v>2402:3a80:1fff:9::43</v>
      </c>
      <c r="AH24" s="161">
        <v>300</v>
      </c>
      <c r="AI24" s="73" t="str">
        <f>"vprn"&amp;AH24&amp;"_import"</f>
        <v>vprn300_import</v>
      </c>
    </row>
    <row r="25" spans="1:35" ht="26.4">
      <c r="A25" s="56"/>
      <c r="B25" s="56" t="str">
        <f>B24</f>
        <v>INVIHR11AMB1SAEU01NK</v>
      </c>
      <c r="C25" s="378"/>
      <c r="D25" s="173" t="s">
        <v>1243</v>
      </c>
      <c r="E25" s="11">
        <f>MG1VPRNs!E25</f>
        <v>1118</v>
      </c>
      <c r="F25" s="156" t="s">
        <v>1203</v>
      </c>
      <c r="G25" s="163" t="s">
        <v>1111</v>
      </c>
      <c r="H25" s="163" t="s">
        <v>231</v>
      </c>
      <c r="I25" s="164" t="s">
        <v>1131</v>
      </c>
      <c r="J25" s="167" t="s">
        <v>639</v>
      </c>
      <c r="K25" s="129" t="s">
        <v>36</v>
      </c>
      <c r="L25" s="228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UP-IMS-MG15-PORT-2-To-LEAF2</v>
      </c>
      <c r="Q25" s="12" t="s">
        <v>36</v>
      </c>
      <c r="R25" s="52">
        <f t="shared" ref="R25:T27" si="10">R24</f>
        <v>100</v>
      </c>
      <c r="S25" s="52">
        <f t="shared" si="10"/>
        <v>100</v>
      </c>
      <c r="T25" s="52">
        <f t="shared" si="10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 ht="26.4">
      <c r="A26" s="56"/>
      <c r="B26" s="56" t="str">
        <f t="shared" ref="B26:B29" si="11">B25</f>
        <v>INVIHR11AMB1SAEU01NK</v>
      </c>
      <c r="C26" s="378"/>
      <c r="D26" s="173" t="s">
        <v>1244</v>
      </c>
      <c r="E26" s="11">
        <f>MG1VPRNs!E26</f>
        <v>1128</v>
      </c>
      <c r="F26" s="156" t="s">
        <v>1210</v>
      </c>
      <c r="G26" s="163" t="s">
        <v>1112</v>
      </c>
      <c r="H26" s="163" t="s">
        <v>233</v>
      </c>
      <c r="I26" s="164" t="s">
        <v>1132</v>
      </c>
      <c r="J26" s="167" t="s">
        <v>641</v>
      </c>
      <c r="K26" s="129" t="s">
        <v>36</v>
      </c>
      <c r="L26" s="228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UP-IMS-MG16-PORT-1-To-LEAF2</v>
      </c>
      <c r="Q26" s="12" t="s">
        <v>36</v>
      </c>
      <c r="R26" s="52">
        <f t="shared" si="10"/>
        <v>100</v>
      </c>
      <c r="S26" s="52">
        <f t="shared" si="10"/>
        <v>100</v>
      </c>
      <c r="T26" s="52">
        <f t="shared" si="10"/>
        <v>3</v>
      </c>
      <c r="U26" s="52" t="str">
        <f>U25</f>
        <v>Static</v>
      </c>
      <c r="V26" s="52" t="str">
        <f t="shared" ref="V26:V27" si="12">V25</f>
        <v>0.0.0.0/0</v>
      </c>
      <c r="W26" s="254" t="str">
        <f>LEFT(H26,FIND("/",H26)-1)</f>
        <v>192.168.1.190</v>
      </c>
      <c r="X26" s="76" t="str">
        <f t="shared" ref="X26:X27" si="13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 ht="26.4">
      <c r="A27" s="56"/>
      <c r="B27" s="56" t="str">
        <f t="shared" si="11"/>
        <v>INVIHR11AMB1SAEU01NK</v>
      </c>
      <c r="C27" s="378"/>
      <c r="D27" s="173" t="s">
        <v>1245</v>
      </c>
      <c r="E27" s="11">
        <f>MG1VPRNs!E27</f>
        <v>1138</v>
      </c>
      <c r="F27" s="156" t="s">
        <v>1211</v>
      </c>
      <c r="G27" s="163" t="s">
        <v>1113</v>
      </c>
      <c r="H27" s="163" t="s">
        <v>235</v>
      </c>
      <c r="I27" s="165" t="s">
        <v>1133</v>
      </c>
      <c r="J27" s="168" t="s">
        <v>643</v>
      </c>
      <c r="K27" s="129" t="s">
        <v>36</v>
      </c>
      <c r="L27" s="228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UP-IMS-MG16-PORT-2-To-LEAF2</v>
      </c>
      <c r="Q27" s="12" t="s">
        <v>36</v>
      </c>
      <c r="R27" s="52">
        <f t="shared" si="10"/>
        <v>100</v>
      </c>
      <c r="S27" s="52">
        <f t="shared" si="10"/>
        <v>100</v>
      </c>
      <c r="T27" s="52">
        <f t="shared" si="10"/>
        <v>3</v>
      </c>
      <c r="U27" s="87" t="str">
        <f>U26</f>
        <v>Static</v>
      </c>
      <c r="V27" s="52" t="str">
        <f t="shared" si="12"/>
        <v>0.0.0.0/0</v>
      </c>
      <c r="W27" s="254" t="str">
        <f>LEFT(H27,FIND("/",H27)-1)</f>
        <v>192.168.2.190</v>
      </c>
      <c r="X27" s="76" t="str">
        <f t="shared" si="13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1"/>
        <v>INVIHR11AMB1SAEU01NK</v>
      </c>
      <c r="C28" s="378"/>
      <c r="D28" s="27"/>
      <c r="E28" s="56"/>
      <c r="F28" s="156" t="s">
        <v>1196</v>
      </c>
      <c r="G28" s="131" t="s">
        <v>1186</v>
      </c>
      <c r="H28" s="79"/>
      <c r="I28" s="156" t="s">
        <v>1188</v>
      </c>
      <c r="J28" s="56" t="s">
        <v>36</v>
      </c>
      <c r="K28" s="157"/>
      <c r="L28" s="228" t="s">
        <v>36</v>
      </c>
      <c r="M28" s="228"/>
      <c r="N28" s="72" t="s">
        <v>70</v>
      </c>
      <c r="O28" s="157" t="s">
        <v>83</v>
      </c>
      <c r="P28" s="52" t="str">
        <f>F28</f>
        <v>UP-IMS-MG-GRP-7-lo1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1"/>
        <v>INVIHR11AMB1SAEU01NK</v>
      </c>
      <c r="C29" s="378"/>
      <c r="D29" s="27"/>
      <c r="E29" s="56"/>
      <c r="F29" s="156" t="s">
        <v>1197</v>
      </c>
      <c r="G29" s="131" t="s">
        <v>1187</v>
      </c>
      <c r="H29" s="79"/>
      <c r="I29" s="156" t="s">
        <v>1189</v>
      </c>
      <c r="J29" s="56" t="s">
        <v>36</v>
      </c>
      <c r="K29" s="157"/>
      <c r="L29" s="228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UP-IMS-MG-GRP-7-lo2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71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172" t="s">
        <v>1242</v>
      </c>
      <c r="E31" s="204">
        <f>MG1VPRNs!E31</f>
        <v>1500</v>
      </c>
      <c r="F31" s="159" t="s">
        <v>1204</v>
      </c>
      <c r="G31" s="73" t="s">
        <v>36</v>
      </c>
      <c r="H31" s="73" t="str">
        <f t="shared" ref="H31:H40" si="14">G31</f>
        <v>NA</v>
      </c>
      <c r="I31" s="159" t="s">
        <v>1250</v>
      </c>
      <c r="J31" s="159" t="s">
        <v>691</v>
      </c>
      <c r="K31" s="129" t="s">
        <v>36</v>
      </c>
      <c r="L31" s="228" t="s">
        <v>36</v>
      </c>
      <c r="M31" s="132" t="s">
        <v>36</v>
      </c>
      <c r="N31" s="88" t="s">
        <v>67</v>
      </c>
      <c r="O31" s="73"/>
      <c r="P31" s="52" t="str">
        <f t="shared" ref="P31:P38" si="15">""&amp;F31&amp;"-To-LEAF2"</f>
        <v>Non-NAT-IPv6-MG15-PORT-1-To-LEAF2</v>
      </c>
      <c r="Q31" s="162">
        <v>1307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6">LEFT(J31,FIND("/",J31)-1)</f>
        <v>2402:3a80:1fff:5::1</v>
      </c>
      <c r="Z31" s="77">
        <f>Z24</f>
        <v>65010</v>
      </c>
      <c r="AA31" s="73" t="str">
        <f>"prefix_vprn"&amp;Q31&amp;""</f>
        <v>prefix_vprn1307</v>
      </c>
      <c r="AB31" s="74" t="str">
        <f>"vprn"&amp;Q31&amp;"_export"</f>
        <v>vprn1307_export</v>
      </c>
      <c r="AC31" s="74"/>
      <c r="AD31" s="74" t="s">
        <v>36</v>
      </c>
      <c r="AE31" s="74" t="s">
        <v>36</v>
      </c>
      <c r="AF31" s="74" t="str">
        <f>LEFT(I34,FIND("/",I34)-1)</f>
        <v>2402:3a80:1fff:8::9</v>
      </c>
      <c r="AG31" s="74" t="str">
        <f>LEFT(I39,FIND("/",I39)-1)</f>
        <v>2402:3a80:1fff:9::1a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173" t="s">
        <v>1243</v>
      </c>
      <c r="E32" s="204">
        <f>MG1VPRNs!E32</f>
        <v>1510</v>
      </c>
      <c r="F32" s="159" t="s">
        <v>1205</v>
      </c>
      <c r="G32" s="56" t="s">
        <v>36</v>
      </c>
      <c r="H32" s="56" t="str">
        <f t="shared" si="14"/>
        <v>NA</v>
      </c>
      <c r="I32" s="159" t="s">
        <v>1251</v>
      </c>
      <c r="J32" s="159" t="s">
        <v>693</v>
      </c>
      <c r="K32" s="129" t="s">
        <v>36</v>
      </c>
      <c r="L32" s="228" t="s">
        <v>36</v>
      </c>
      <c r="M32" s="132" t="s">
        <v>36</v>
      </c>
      <c r="N32" s="72" t="str">
        <f>N31</f>
        <v>Physical4</v>
      </c>
      <c r="O32" s="56"/>
      <c r="P32" s="52" t="str">
        <f t="shared" si="15"/>
        <v>Non-NAT-IPv6-MG15-PORT-2-To-LEAF2</v>
      </c>
      <c r="Q32" s="12" t="s">
        <v>36</v>
      </c>
      <c r="R32" s="52">
        <f t="shared" ref="R32:U38" si="17">R31</f>
        <v>100</v>
      </c>
      <c r="S32" s="52">
        <f t="shared" si="17"/>
        <v>100</v>
      </c>
      <c r="T32" s="52">
        <f t="shared" si="17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6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8">B32</f>
        <v>INVIHR11AMB1SAEU01NK</v>
      </c>
      <c r="C33" s="376"/>
      <c r="D33" s="173" t="s">
        <v>1244</v>
      </c>
      <c r="E33" s="204">
        <f>MG1VPRNs!E33</f>
        <v>1520</v>
      </c>
      <c r="F33" s="159" t="s">
        <v>1212</v>
      </c>
      <c r="G33" s="56" t="s">
        <v>36</v>
      </c>
      <c r="H33" s="56" t="str">
        <f t="shared" si="14"/>
        <v>NA</v>
      </c>
      <c r="I33" s="159" t="s">
        <v>1252</v>
      </c>
      <c r="J33" s="159" t="s">
        <v>695</v>
      </c>
      <c r="K33" s="129" t="s">
        <v>36</v>
      </c>
      <c r="L33" s="228" t="s">
        <v>36</v>
      </c>
      <c r="M33" s="132" t="s">
        <v>36</v>
      </c>
      <c r="N33" s="72" t="str">
        <f>N31</f>
        <v>Physical4</v>
      </c>
      <c r="O33" s="56"/>
      <c r="P33" s="52" t="str">
        <f t="shared" si="15"/>
        <v>Non-NAT-IPv6-MG16-PORT-1-To-LEAF2</v>
      </c>
      <c r="Q33" s="12" t="s">
        <v>36</v>
      </c>
      <c r="R33" s="52">
        <f t="shared" si="17"/>
        <v>100</v>
      </c>
      <c r="S33" s="52">
        <f t="shared" si="17"/>
        <v>100</v>
      </c>
      <c r="T33" s="52">
        <f t="shared" si="17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19">X32</f>
        <v>::/0</v>
      </c>
      <c r="Y33" s="18" t="str">
        <f t="shared" si="16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8"/>
        <v>INVIHR11AMB1SAEU01NK</v>
      </c>
      <c r="C34" s="376"/>
      <c r="D34" s="173" t="s">
        <v>1245</v>
      </c>
      <c r="E34" s="204">
        <f>MG1VPRNs!E34</f>
        <v>1530</v>
      </c>
      <c r="F34" s="159" t="s">
        <v>1213</v>
      </c>
      <c r="G34" s="56" t="s">
        <v>36</v>
      </c>
      <c r="H34" s="56" t="str">
        <f t="shared" si="14"/>
        <v>NA</v>
      </c>
      <c r="I34" s="159" t="s">
        <v>1253</v>
      </c>
      <c r="J34" s="159" t="s">
        <v>697</v>
      </c>
      <c r="K34" s="129" t="s">
        <v>36</v>
      </c>
      <c r="L34" s="228" t="s">
        <v>36</v>
      </c>
      <c r="M34" s="132" t="s">
        <v>36</v>
      </c>
      <c r="N34" s="72" t="str">
        <f>N31</f>
        <v>Physical4</v>
      </c>
      <c r="O34" s="56"/>
      <c r="P34" s="52" t="str">
        <f t="shared" si="15"/>
        <v>Non-NAT-IPv6-MG16-PORT-2-To-LEAF2</v>
      </c>
      <c r="Q34" s="12" t="s">
        <v>36</v>
      </c>
      <c r="R34" s="52">
        <f t="shared" si="17"/>
        <v>100</v>
      </c>
      <c r="S34" s="52">
        <f t="shared" si="17"/>
        <v>100</v>
      </c>
      <c r="T34" s="52">
        <f t="shared" si="17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19"/>
        <v>::/0</v>
      </c>
      <c r="Y34" s="18" t="str">
        <f t="shared" si="16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8"/>
        <v>INVIHR11AMB1SAEU01NK</v>
      </c>
      <c r="C35" s="376"/>
      <c r="D35" s="172" t="s">
        <v>1242</v>
      </c>
      <c r="E35" s="205">
        <f>MG1VPRNs!E35</f>
        <v>1300</v>
      </c>
      <c r="F35" s="159" t="s">
        <v>1206</v>
      </c>
      <c r="G35" s="56" t="s">
        <v>36</v>
      </c>
      <c r="H35" s="56" t="str">
        <f t="shared" si="14"/>
        <v>NA</v>
      </c>
      <c r="I35" s="159" t="s">
        <v>1286</v>
      </c>
      <c r="J35" s="159" t="s">
        <v>1287</v>
      </c>
      <c r="K35" s="129" t="s">
        <v>36</v>
      </c>
      <c r="L35" s="228" t="s">
        <v>36</v>
      </c>
      <c r="M35" s="132" t="s">
        <v>36</v>
      </c>
      <c r="N35" s="72" t="str">
        <f t="shared" ref="N35:N38" si="20">N32</f>
        <v>Physical4</v>
      </c>
      <c r="O35" s="56"/>
      <c r="P35" s="52" t="str">
        <f t="shared" si="15"/>
        <v>TO-NAT-Redirect-MG15-PORT-1-To-LEAF2</v>
      </c>
      <c r="Q35" s="12" t="s">
        <v>36</v>
      </c>
      <c r="R35" s="52">
        <f t="shared" si="17"/>
        <v>100</v>
      </c>
      <c r="S35" s="52">
        <f t="shared" si="17"/>
        <v>100</v>
      </c>
      <c r="T35" s="52">
        <f t="shared" si="17"/>
        <v>3</v>
      </c>
      <c r="U35" s="52" t="str">
        <f t="shared" si="17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6"/>
        <v>2402:3a80:1fff:10::1d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8"/>
        <v>INVIHR11AMB1SAEU01NK</v>
      </c>
      <c r="C36" s="376"/>
      <c r="D36" s="173" t="s">
        <v>1243</v>
      </c>
      <c r="E36" s="205">
        <f>MG1VPRNs!E36</f>
        <v>1310</v>
      </c>
      <c r="F36" s="159" t="s">
        <v>1207</v>
      </c>
      <c r="G36" s="56" t="s">
        <v>36</v>
      </c>
      <c r="H36" s="56" t="str">
        <f t="shared" si="14"/>
        <v>NA</v>
      </c>
      <c r="I36" s="159" t="s">
        <v>1288</v>
      </c>
      <c r="J36" s="159" t="s">
        <v>1289</v>
      </c>
      <c r="K36" s="129" t="s">
        <v>36</v>
      </c>
      <c r="L36" s="228" t="s">
        <v>36</v>
      </c>
      <c r="M36" s="132" t="s">
        <v>36</v>
      </c>
      <c r="N36" s="72" t="str">
        <f t="shared" si="20"/>
        <v>Physical4</v>
      </c>
      <c r="O36" s="56"/>
      <c r="P36" s="52" t="str">
        <f t="shared" si="15"/>
        <v>TO-NAT-Redirect-MG15-PORT-2-To-LEAF2</v>
      </c>
      <c r="Q36" s="12" t="s">
        <v>36</v>
      </c>
      <c r="R36" s="52">
        <f t="shared" si="17"/>
        <v>100</v>
      </c>
      <c r="S36" s="52">
        <f t="shared" si="17"/>
        <v>100</v>
      </c>
      <c r="T36" s="52">
        <f t="shared" si="17"/>
        <v>3</v>
      </c>
      <c r="U36" s="52" t="str">
        <f t="shared" si="17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6"/>
        <v>2402:3a80:1fff:11::1d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8"/>
        <v>INVIHR11AMB1SAEU01NK</v>
      </c>
      <c r="C37" s="376"/>
      <c r="D37" s="173" t="s">
        <v>1244</v>
      </c>
      <c r="E37" s="205">
        <f>MG1VPRNs!E37</f>
        <v>1320</v>
      </c>
      <c r="F37" s="159" t="s">
        <v>1214</v>
      </c>
      <c r="G37" s="56" t="s">
        <v>36</v>
      </c>
      <c r="H37" s="56" t="str">
        <f t="shared" si="14"/>
        <v>NA</v>
      </c>
      <c r="I37" s="159" t="s">
        <v>1290</v>
      </c>
      <c r="J37" s="159" t="s">
        <v>1291</v>
      </c>
      <c r="K37" s="129" t="s">
        <v>36</v>
      </c>
      <c r="L37" s="228" t="s">
        <v>36</v>
      </c>
      <c r="M37" s="132" t="s">
        <v>36</v>
      </c>
      <c r="N37" s="72" t="str">
        <f t="shared" si="20"/>
        <v>Physical4</v>
      </c>
      <c r="O37" s="56"/>
      <c r="P37" s="52" t="str">
        <f t="shared" si="15"/>
        <v>TO-NAT-Redirect-MG16-PORT-1-To-LEAF2</v>
      </c>
      <c r="Q37" s="12" t="s">
        <v>36</v>
      </c>
      <c r="R37" s="52">
        <f t="shared" si="17"/>
        <v>100</v>
      </c>
      <c r="S37" s="52">
        <f t="shared" si="17"/>
        <v>100</v>
      </c>
      <c r="T37" s="52">
        <f t="shared" si="17"/>
        <v>3</v>
      </c>
      <c r="U37" s="52" t="str">
        <f t="shared" si="17"/>
        <v>Static</v>
      </c>
      <c r="V37" s="253" t="s">
        <v>36</v>
      </c>
      <c r="W37" s="253" t="s">
        <v>36</v>
      </c>
      <c r="X37" s="208" t="str">
        <f t="shared" ref="X37:X38" si="21">X36</f>
        <v>2402:3a80:1fff:3f::/96</v>
      </c>
      <c r="Y37" s="18" t="str">
        <f t="shared" si="16"/>
        <v>2402:3a80:1fff:12::1d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8"/>
        <v>INVIHR11AMB1SAEU01NK</v>
      </c>
      <c r="C38" s="376"/>
      <c r="D38" s="173" t="s">
        <v>1245</v>
      </c>
      <c r="E38" s="205">
        <f>MG1VPRNs!E38</f>
        <v>1330</v>
      </c>
      <c r="F38" s="159" t="s">
        <v>1215</v>
      </c>
      <c r="G38" s="56" t="s">
        <v>36</v>
      </c>
      <c r="H38" s="56" t="str">
        <f t="shared" si="14"/>
        <v>NA</v>
      </c>
      <c r="I38" s="159" t="s">
        <v>1292</v>
      </c>
      <c r="J38" s="159" t="s">
        <v>1293</v>
      </c>
      <c r="K38" s="129" t="s">
        <v>36</v>
      </c>
      <c r="L38" s="228" t="s">
        <v>36</v>
      </c>
      <c r="M38" s="132" t="s">
        <v>36</v>
      </c>
      <c r="N38" s="72" t="str">
        <f t="shared" si="20"/>
        <v>Physical4</v>
      </c>
      <c r="O38" s="56"/>
      <c r="P38" s="52" t="str">
        <f t="shared" si="15"/>
        <v>TO-NAT-Redirect-MG16-PORT-2-To-LEAF2</v>
      </c>
      <c r="Q38" s="12" t="s">
        <v>36</v>
      </c>
      <c r="R38" s="52">
        <f t="shared" si="17"/>
        <v>100</v>
      </c>
      <c r="S38" s="52">
        <f t="shared" si="17"/>
        <v>100</v>
      </c>
      <c r="T38" s="52">
        <f t="shared" si="17"/>
        <v>3</v>
      </c>
      <c r="U38" s="52" t="str">
        <f t="shared" si="17"/>
        <v>Static</v>
      </c>
      <c r="V38" s="253" t="s">
        <v>36</v>
      </c>
      <c r="W38" s="253" t="s">
        <v>36</v>
      </c>
      <c r="X38" s="208" t="str">
        <f t="shared" si="21"/>
        <v>2402:3a80:1fff:3f::/96</v>
      </c>
      <c r="Y38" s="18" t="str">
        <f t="shared" si="16"/>
        <v>2402:3a80:1fff:13::1d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1198</v>
      </c>
      <c r="G39" s="56" t="s">
        <v>36</v>
      </c>
      <c r="H39" s="56" t="str">
        <f t="shared" si="14"/>
        <v>NA</v>
      </c>
      <c r="I39" s="159" t="s">
        <v>1266</v>
      </c>
      <c r="J39" s="56"/>
      <c r="K39" s="156"/>
      <c r="L39" s="228" t="s">
        <v>36</v>
      </c>
      <c r="M39" s="228"/>
      <c r="N39" s="72" t="s">
        <v>72</v>
      </c>
      <c r="O39" s="156" t="s">
        <v>83</v>
      </c>
      <c r="P39" s="52" t="str">
        <f>F39</f>
        <v>NAT-IPv6-MG-GRP-7-lo1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8"/>
        <v>INVIHR11AMB1SAEU01NK</v>
      </c>
      <c r="C40" s="376"/>
      <c r="D40" s="56"/>
      <c r="E40" s="56"/>
      <c r="F40" s="159" t="s">
        <v>1199</v>
      </c>
      <c r="G40" s="56" t="s">
        <v>36</v>
      </c>
      <c r="H40" s="56" t="str">
        <f t="shared" si="14"/>
        <v>NA</v>
      </c>
      <c r="I40" s="159" t="s">
        <v>1267</v>
      </c>
      <c r="J40" s="56"/>
      <c r="K40" s="156"/>
      <c r="L40" s="228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NAT-IPv6-MG-GRP-7-lo2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8"/>
        <v>INVIHR11AMB1SAEU01NK</v>
      </c>
      <c r="C41" s="376"/>
      <c r="D41" s="84"/>
      <c r="E41" s="84"/>
      <c r="F41" s="203" t="s">
        <v>1103</v>
      </c>
      <c r="G41" s="207">
        <f>'[2]External Interfaces'!$H$65</f>
        <v>0</v>
      </c>
      <c r="H41" s="84" t="s">
        <v>36</v>
      </c>
      <c r="I41" s="207">
        <f>'[2]External Interfaces'!$I$65</f>
        <v>0</v>
      </c>
      <c r="J41" s="84"/>
      <c r="K41" s="157"/>
      <c r="L41" s="228" t="s">
        <v>36</v>
      </c>
      <c r="M41" s="243"/>
      <c r="N41" s="85" t="str">
        <f>N40</f>
        <v>Loopback4</v>
      </c>
      <c r="O41" s="157" t="s">
        <v>84</v>
      </c>
      <c r="P41" s="52" t="str">
        <f>F41</f>
        <v>www-pool7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prefix_vprn1307</v>
      </c>
      <c r="AB41" s="84" t="str">
        <f>AB31</f>
        <v>vprn1307_export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71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172" t="s">
        <v>1242</v>
      </c>
      <c r="E43" s="77">
        <f>MG1VPRNs!E43</f>
        <v>1400</v>
      </c>
      <c r="F43" s="159" t="s">
        <v>1381</v>
      </c>
      <c r="G43" s="73" t="s">
        <v>36</v>
      </c>
      <c r="H43" s="73" t="str">
        <f t="shared" ref="H43:H46" si="22">G43</f>
        <v>NA</v>
      </c>
      <c r="I43" s="159" t="s">
        <v>1310</v>
      </c>
      <c r="J43" s="159" t="s">
        <v>1311</v>
      </c>
      <c r="K43" s="194">
        <v>1407</v>
      </c>
      <c r="L43" s="228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IPv6-1407-MG15-to-WBX-1-To-1307</v>
      </c>
      <c r="Q43" s="162">
        <v>1407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>
        <f>I41</f>
        <v>0</v>
      </c>
      <c r="Y43" s="18" t="str">
        <f>LEFT(J43,FIND("/",J43)-1)</f>
        <v>2402:3a80:1fff:14::1d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173" t="s">
        <v>1243</v>
      </c>
      <c r="E44" s="77">
        <f>MG1VPRNs!E44</f>
        <v>1410</v>
      </c>
      <c r="F44" s="159" t="s">
        <v>1382</v>
      </c>
      <c r="G44" s="56" t="s">
        <v>36</v>
      </c>
      <c r="H44" s="56" t="str">
        <f t="shared" si="22"/>
        <v>NA</v>
      </c>
      <c r="I44" s="159" t="s">
        <v>1312</v>
      </c>
      <c r="J44" s="159" t="s">
        <v>1313</v>
      </c>
      <c r="K44" s="194">
        <v>1407</v>
      </c>
      <c r="L44" s="228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IPv6-1407-MG15-to-WBX-2-To-1307</v>
      </c>
      <c r="Q44" s="12" t="s">
        <v>36</v>
      </c>
      <c r="R44" s="52">
        <f t="shared" ref="R44:T46" si="23">R43</f>
        <v>100</v>
      </c>
      <c r="S44" s="52">
        <f t="shared" si="23"/>
        <v>100</v>
      </c>
      <c r="T44" s="52">
        <f t="shared" si="23"/>
        <v>3</v>
      </c>
      <c r="U44" s="52" t="str">
        <f>U43</f>
        <v>Static</v>
      </c>
      <c r="V44" s="253" t="s">
        <v>36</v>
      </c>
      <c r="W44" s="253" t="s">
        <v>36</v>
      </c>
      <c r="X44" s="10">
        <f>X43</f>
        <v>0</v>
      </c>
      <c r="Y44" s="10" t="str">
        <f>LEFT(J44,FIND("/",J44)-1)</f>
        <v>2402:3a80:1fff:15::1d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4">B44</f>
        <v>INVIHR11AMB1SAEU01NK</v>
      </c>
      <c r="C45" s="376"/>
      <c r="D45" s="173" t="s">
        <v>1244</v>
      </c>
      <c r="E45" s="77">
        <f>MG1VPRNs!E45</f>
        <v>1420</v>
      </c>
      <c r="F45" s="159" t="s">
        <v>1383</v>
      </c>
      <c r="G45" s="56" t="s">
        <v>36</v>
      </c>
      <c r="H45" s="56" t="str">
        <f t="shared" si="22"/>
        <v>NA</v>
      </c>
      <c r="I45" s="159" t="s">
        <v>1314</v>
      </c>
      <c r="J45" s="159" t="s">
        <v>1315</v>
      </c>
      <c r="K45" s="194">
        <v>1407</v>
      </c>
      <c r="L45" s="228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IPv6-1407-MG16-to-WBX-1-To-1307</v>
      </c>
      <c r="Q45" s="12" t="s">
        <v>36</v>
      </c>
      <c r="R45" s="52">
        <f t="shared" si="23"/>
        <v>100</v>
      </c>
      <c r="S45" s="52">
        <f t="shared" si="23"/>
        <v>100</v>
      </c>
      <c r="T45" s="52">
        <f t="shared" si="23"/>
        <v>3</v>
      </c>
      <c r="U45" s="52" t="str">
        <f>U44</f>
        <v>Static</v>
      </c>
      <c r="V45" s="253" t="s">
        <v>36</v>
      </c>
      <c r="W45" s="253" t="s">
        <v>36</v>
      </c>
      <c r="X45" s="10">
        <f t="shared" ref="X45:X46" si="25">X44</f>
        <v>0</v>
      </c>
      <c r="Y45" s="10" t="str">
        <f>LEFT(J45,FIND("/",J45)-1)</f>
        <v>2402:3a80:1fff:16::1d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4"/>
        <v>INVIHR11AMB1SAEU01NK</v>
      </c>
      <c r="C46" s="376"/>
      <c r="D46" s="173" t="s">
        <v>1245</v>
      </c>
      <c r="E46" s="210">
        <f>MG1VPRNs!E46</f>
        <v>1430</v>
      </c>
      <c r="F46" s="159" t="s">
        <v>1384</v>
      </c>
      <c r="G46" s="56" t="s">
        <v>36</v>
      </c>
      <c r="H46" s="56" t="str">
        <f t="shared" si="22"/>
        <v>NA</v>
      </c>
      <c r="I46" s="159" t="s">
        <v>1316</v>
      </c>
      <c r="J46" s="159" t="s">
        <v>1317</v>
      </c>
      <c r="K46" s="194">
        <v>1407</v>
      </c>
      <c r="L46" s="228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IPv6-1407-MG16-to-WBX-2-To-1307</v>
      </c>
      <c r="Q46" s="14" t="s">
        <v>36</v>
      </c>
      <c r="R46" s="87">
        <f t="shared" si="23"/>
        <v>100</v>
      </c>
      <c r="S46" s="87">
        <f t="shared" si="23"/>
        <v>100</v>
      </c>
      <c r="T46" s="87">
        <f t="shared" si="23"/>
        <v>3</v>
      </c>
      <c r="U46" s="87" t="str">
        <f>U45</f>
        <v>Static</v>
      </c>
      <c r="V46" s="145" t="s">
        <v>36</v>
      </c>
      <c r="W46" s="145" t="s">
        <v>36</v>
      </c>
      <c r="X46" s="10">
        <f t="shared" si="25"/>
        <v>0</v>
      </c>
      <c r="Y46" s="202" t="str">
        <f>LEFT(J46,FIND("/",J46)-1)</f>
        <v>2402:3a80:1fff:17::1d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71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U8:U29 U31:U40 U43:U46" xr:uid="{A5ACBD6C-B11C-4B03-8566-DB5118B628CC}">
      <formula1>$U$1:$U$3</formula1>
    </dataValidation>
    <dataValidation type="list" allowBlank="1" showInputMessage="1" showErrorMessage="1" sqref="AC8:AC29 AC31:AC41 AC43:AC46" xr:uid="{B3872E46-5C0C-4CE8-A5FF-E3E6967F6881}">
      <formula1>$AC$1:$AC$3</formula1>
    </dataValidation>
    <dataValidation type="list" allowBlank="1" showInputMessage="1" showErrorMessage="1" sqref="O8:O29 O39:O41" xr:uid="{175CE9A6-2E6D-4398-8E82-EDB6DDA01A29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7A1A-60AB-4C14-B34A-4D5B640BA167}">
  <sheetPr codeName="Sheet28"/>
  <dimension ref="A1:AI49"/>
  <sheetViews>
    <sheetView topLeftCell="P27" workbookViewId="0">
      <selection activeCell="V41" sqref="V41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4" width="6.109375" bestFit="1" customWidth="1"/>
    <col min="5" max="5" width="6.5546875" bestFit="1" customWidth="1"/>
    <col min="6" max="6" width="29.6640625" bestFit="1" customWidth="1"/>
    <col min="7" max="7" width="15.33203125" bestFit="1" customWidth="1"/>
    <col min="8" max="8" width="8.5546875" bestFit="1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2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52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51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51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62"/>
      <c r="AH4" s="62"/>
      <c r="AI4" s="63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2"/>
      <c r="Q5" s="368" t="s">
        <v>373</v>
      </c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0"/>
    </row>
    <row r="6" spans="1:35" ht="15" thickBot="1">
      <c r="A6" s="60" t="s">
        <v>6</v>
      </c>
      <c r="B6" s="64" t="s">
        <v>16</v>
      </c>
      <c r="C6" s="65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384" t="s">
        <v>375</v>
      </c>
      <c r="V6" s="384"/>
      <c r="W6" s="384"/>
      <c r="X6" s="384"/>
      <c r="Y6" s="384"/>
      <c r="Z6" s="385"/>
      <c r="AA6" s="383" t="s">
        <v>376</v>
      </c>
      <c r="AB6" s="383"/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68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 ht="26.4">
      <c r="A8" s="73"/>
      <c r="B8" s="122" t="str">
        <f>MG1VPRNs!B8</f>
        <v>INVIHR11AMB1SAEU01NK</v>
      </c>
      <c r="C8" s="352" t="s">
        <v>217</v>
      </c>
      <c r="D8" s="172" t="s">
        <v>1152</v>
      </c>
      <c r="E8" s="11">
        <f>MG1VPRNs!E8</f>
        <v>1106</v>
      </c>
      <c r="F8" s="156" t="s">
        <v>992</v>
      </c>
      <c r="G8" s="163" t="s">
        <v>1008</v>
      </c>
      <c r="H8" s="163" t="s">
        <v>210</v>
      </c>
      <c r="I8" s="159" t="s">
        <v>1020</v>
      </c>
      <c r="J8" s="159" t="s">
        <v>623</v>
      </c>
      <c r="K8" s="129" t="s">
        <v>36</v>
      </c>
      <c r="L8" s="228" t="s">
        <v>36</v>
      </c>
      <c r="M8" s="132">
        <v>1600</v>
      </c>
      <c r="N8" s="72" t="s">
        <v>64</v>
      </c>
      <c r="O8" s="74"/>
      <c r="P8" s="52" t="str">
        <f>""&amp;F8&amp;"-To-LEAF1"</f>
        <v>UP-CORE-MG17-PORT-1-To-LEAF1</v>
      </c>
      <c r="Q8" s="162">
        <v>108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prefix_vprn108</v>
      </c>
      <c r="AB8" s="74" t="str">
        <f>"vprn"&amp;Q8&amp;"_export"</f>
        <v>vprn108_export</v>
      </c>
      <c r="AC8" s="74"/>
      <c r="AD8" s="74" t="str">
        <f>LEFT(G12,FIND("/",G12)-1)</f>
        <v>192.168.3.29</v>
      </c>
      <c r="AE8" s="74" t="str">
        <f>LEFT(G13,FIND("/",G13)-1)</f>
        <v>192.168.3.31</v>
      </c>
      <c r="AF8" s="74" t="str">
        <f>LEFT(I12,FIND("/",I12)-1)</f>
        <v>2402:3a80:1fff:9::6d</v>
      </c>
      <c r="AG8" s="74" t="str">
        <f>LEFT(I13,FIND("/",I13)-1)</f>
        <v>2402:3a80:1fff:9::6f</v>
      </c>
      <c r="AH8" s="161">
        <v>100</v>
      </c>
      <c r="AI8" s="73" t="str">
        <f>"vprn"&amp;AH8&amp;"_import"</f>
        <v>vprn100_import</v>
      </c>
    </row>
    <row r="9" spans="1:35" ht="26.4">
      <c r="A9" s="56"/>
      <c r="B9" s="56" t="str">
        <f>B8</f>
        <v>INVIHR11AMB1SAEU01NK</v>
      </c>
      <c r="C9" s="352"/>
      <c r="D9" s="173" t="s">
        <v>1153</v>
      </c>
      <c r="E9" s="11">
        <f>MG1VPRNs!E9</f>
        <v>1116</v>
      </c>
      <c r="F9" s="156" t="s">
        <v>993</v>
      </c>
      <c r="G9" s="163" t="s">
        <v>1009</v>
      </c>
      <c r="H9" s="163" t="s">
        <v>212</v>
      </c>
      <c r="I9" s="159" t="s">
        <v>1021</v>
      </c>
      <c r="J9" s="159" t="s">
        <v>625</v>
      </c>
      <c r="K9" s="129" t="s">
        <v>36</v>
      </c>
      <c r="L9" s="228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UP-CORE-MG17-PORT-2-To-LEAF2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54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 ht="26.4">
      <c r="A10" s="56"/>
      <c r="B10" s="56" t="str">
        <f t="shared" ref="B10:B14" si="1">B9</f>
        <v>INVIHR11AMB1SAEU01NK</v>
      </c>
      <c r="C10" s="352"/>
      <c r="D10" s="173" t="s">
        <v>1154</v>
      </c>
      <c r="E10" s="11">
        <f>MG1VPRNs!E10</f>
        <v>1126</v>
      </c>
      <c r="F10" s="156" t="s">
        <v>994</v>
      </c>
      <c r="G10" s="163" t="s">
        <v>1010</v>
      </c>
      <c r="H10" s="163" t="s">
        <v>214</v>
      </c>
      <c r="I10" s="159" t="s">
        <v>1022</v>
      </c>
      <c r="J10" s="159" t="s">
        <v>627</v>
      </c>
      <c r="K10" s="129" t="s">
        <v>36</v>
      </c>
      <c r="L10" s="228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UP-CORE-MG18-PORT-1-To-LEAF1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54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27" thickBot="1">
      <c r="A11" s="56"/>
      <c r="B11" s="56" t="str">
        <f t="shared" si="1"/>
        <v>INVIHR11AMB1SAEU01NK</v>
      </c>
      <c r="C11" s="352"/>
      <c r="D11" s="173" t="s">
        <v>1155</v>
      </c>
      <c r="E11" s="11">
        <f>MG1VPRNs!E11</f>
        <v>1136</v>
      </c>
      <c r="F11" s="156" t="s">
        <v>995</v>
      </c>
      <c r="G11" s="163" t="s">
        <v>1011</v>
      </c>
      <c r="H11" s="163" t="s">
        <v>216</v>
      </c>
      <c r="I11" s="159" t="s">
        <v>1023</v>
      </c>
      <c r="J11" s="159" t="s">
        <v>629</v>
      </c>
      <c r="K11" s="129" t="s">
        <v>36</v>
      </c>
      <c r="L11" s="228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UP-CORE-MG18-PORT-2-To-LEAF2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54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1046</v>
      </c>
      <c r="G12" s="131" t="s">
        <v>1047</v>
      </c>
      <c r="H12" s="79"/>
      <c r="I12" s="159" t="s">
        <v>1044</v>
      </c>
      <c r="J12" s="56" t="s">
        <v>36</v>
      </c>
      <c r="K12" s="167"/>
      <c r="L12" s="228" t="s">
        <v>36</v>
      </c>
      <c r="M12" s="242"/>
      <c r="N12" s="72" t="s">
        <v>68</v>
      </c>
      <c r="O12" s="157" t="s">
        <v>83</v>
      </c>
      <c r="P12" s="52" t="str">
        <f>F12</f>
        <v>UP-CORE-MG-GRP-8-lo1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1048</v>
      </c>
      <c r="G13" s="131" t="s">
        <v>1049</v>
      </c>
      <c r="H13" s="79"/>
      <c r="I13" s="159" t="s">
        <v>1045</v>
      </c>
      <c r="J13" s="56" t="s">
        <v>36</v>
      </c>
      <c r="K13" s="167"/>
      <c r="L13" s="228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UP-CORE-MG-GRP-8-lo2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1058</v>
      </c>
      <c r="G14" s="212">
        <f>'[2]External Interfaces'!$L$17</f>
        <v>0</v>
      </c>
      <c r="H14" s="81"/>
      <c r="I14" s="75">
        <f>'[2]External Interfaces'!$M$17</f>
        <v>0</v>
      </c>
      <c r="J14" s="56" t="s">
        <v>36</v>
      </c>
      <c r="K14" s="156"/>
      <c r="L14" s="227" t="s">
        <v>1360</v>
      </c>
      <c r="M14" s="227"/>
      <c r="N14" s="72" t="str">
        <f>N12</f>
        <v>Loopback1</v>
      </c>
      <c r="O14" s="157" t="s">
        <v>83</v>
      </c>
      <c r="P14" s="52" t="str">
        <f>F14</f>
        <v>UP-CORE-MG-GRP-8-S1u-SGW_S5-lo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prefix_vprn108</v>
      </c>
      <c r="AB14" s="56" t="str">
        <f>AB8</f>
        <v>vprn108_export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1059</v>
      </c>
      <c r="G15" s="83">
        <f>'[2]External Interfaces'!$L$26</f>
        <v>0</v>
      </c>
      <c r="H15" s="81"/>
      <c r="I15" s="207">
        <f>'[2]External Interfaces'!$M$26</f>
        <v>0</v>
      </c>
      <c r="J15" s="84" t="s">
        <v>36</v>
      </c>
      <c r="K15" s="157"/>
      <c r="L15" s="227" t="s">
        <v>1361</v>
      </c>
      <c r="M15" s="240"/>
      <c r="N15" s="85" t="str">
        <f>N13</f>
        <v>Loopback1</v>
      </c>
      <c r="O15" s="157" t="s">
        <v>83</v>
      </c>
      <c r="P15" s="52" t="str">
        <f>F15</f>
        <v>UP-CORE-MG-GRP-8-PGW_S5-S8-lo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prefix_vprn108</v>
      </c>
      <c r="AB15" s="87" t="str">
        <f>AB8</f>
        <v>vprn108_export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 ht="26.4">
      <c r="A17" s="73"/>
      <c r="B17" s="122" t="str">
        <f>B8</f>
        <v>INVIHR11AMB1SAEU01NK</v>
      </c>
      <c r="C17" s="377" t="s">
        <v>226</v>
      </c>
      <c r="D17" s="172" t="s">
        <v>1152</v>
      </c>
      <c r="E17" s="28">
        <f>MG1VPRNs!E17</f>
        <v>1107</v>
      </c>
      <c r="F17" s="161" t="s">
        <v>1224</v>
      </c>
      <c r="G17" s="163" t="s">
        <v>1072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28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UP-INTERNET-MG17-PORT-1-To-LEAF1</v>
      </c>
      <c r="Q17" s="162">
        <v>208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prefix_vprn208</v>
      </c>
      <c r="AB17" s="74" t="str">
        <f>"vprn"&amp;Q17&amp;"_export"</f>
        <v>vprn208_export</v>
      </c>
      <c r="AC17" s="74"/>
      <c r="AD17" s="74" t="str">
        <f>LEFT(G21,FIND("/",G21)-1)</f>
        <v>192.168.3.67</v>
      </c>
      <c r="AE17" s="74" t="str">
        <f>LEFT(G22,FIND("/",G22)-1)</f>
        <v>192.168.3.69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 ht="26.4">
      <c r="A18" s="56"/>
      <c r="B18" s="56" t="str">
        <f>B17</f>
        <v>INVIHR11AMB1SAEU01NK</v>
      </c>
      <c r="C18" s="378"/>
      <c r="D18" s="173" t="s">
        <v>1153</v>
      </c>
      <c r="E18" s="11">
        <f>MG1VPRNs!E18</f>
        <v>1117</v>
      </c>
      <c r="F18" s="156" t="s">
        <v>1225</v>
      </c>
      <c r="G18" s="163" t="s">
        <v>1073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28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UP-INTERNET-MG17-PORT-2-To-LEAF2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 ht="26.4">
      <c r="A19" s="56"/>
      <c r="B19" s="56" t="str">
        <f t="shared" ref="B19:B22" si="7">B18</f>
        <v>INVIHR11AMB1SAEU01NK</v>
      </c>
      <c r="C19" s="378"/>
      <c r="D19" s="173" t="s">
        <v>1154</v>
      </c>
      <c r="E19" s="11">
        <f>MG1VPRNs!E19</f>
        <v>1127</v>
      </c>
      <c r="F19" s="156" t="s">
        <v>1216</v>
      </c>
      <c r="G19" s="163" t="s">
        <v>1074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28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UP-INTERNET-MG18-PORT-1-To-LEAF1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 ht="26.4">
      <c r="A20" s="56"/>
      <c r="B20" s="56" t="str">
        <f t="shared" si="7"/>
        <v>INVIHR11AMB1SAEU01NK</v>
      </c>
      <c r="C20" s="378"/>
      <c r="D20" s="173" t="s">
        <v>1155</v>
      </c>
      <c r="E20" s="11">
        <f>MG1VPRNs!E20</f>
        <v>1137</v>
      </c>
      <c r="F20" s="156" t="s">
        <v>1217</v>
      </c>
      <c r="G20" s="163" t="s">
        <v>1075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28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UP-INTERNET-MG18-PORT-2-To-LEAF2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1232</v>
      </c>
      <c r="G21" s="131" t="s">
        <v>1148</v>
      </c>
      <c r="H21" s="79"/>
      <c r="I21" s="76" t="s">
        <v>36</v>
      </c>
      <c r="J21" s="211" t="s">
        <v>36</v>
      </c>
      <c r="K21" s="157"/>
      <c r="L21" s="228" t="s">
        <v>36</v>
      </c>
      <c r="M21" s="228"/>
      <c r="N21" s="72" t="s">
        <v>69</v>
      </c>
      <c r="O21" s="157" t="s">
        <v>83</v>
      </c>
      <c r="P21" s="52" t="str">
        <f t="shared" ref="P21:P22" si="10">F21</f>
        <v>UP-INTERNET-MG-GRP-8-lo1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7"/>
      <c r="E22" s="79"/>
      <c r="F22" s="156" t="s">
        <v>1233</v>
      </c>
      <c r="G22" s="131" t="s">
        <v>1149</v>
      </c>
      <c r="H22" s="79"/>
      <c r="I22" s="76" t="s">
        <v>36</v>
      </c>
      <c r="J22" s="211" t="s">
        <v>36</v>
      </c>
      <c r="K22" s="157"/>
      <c r="L22" s="228" t="s">
        <v>36</v>
      </c>
      <c r="M22" s="243"/>
      <c r="N22" s="72" t="str">
        <f>N21</f>
        <v>Loopback2</v>
      </c>
      <c r="O22" s="157" t="s">
        <v>83</v>
      </c>
      <c r="P22" s="52" t="str">
        <f t="shared" si="10"/>
        <v>UP-INTERNET-MG-GRP-8-lo2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 ht="26.4">
      <c r="A24" s="73"/>
      <c r="B24" s="122" t="str">
        <f>B8</f>
        <v>INVIHR11AMB1SAEU01NK</v>
      </c>
      <c r="C24" s="377" t="s">
        <v>227</v>
      </c>
      <c r="D24" s="172" t="s">
        <v>1152</v>
      </c>
      <c r="E24" s="28">
        <f>MG1VPRNs!E24</f>
        <v>1108</v>
      </c>
      <c r="F24" s="161" t="s">
        <v>1226</v>
      </c>
      <c r="G24" s="163" t="s">
        <v>1114</v>
      </c>
      <c r="H24" s="163" t="s">
        <v>229</v>
      </c>
      <c r="I24" s="169" t="s">
        <v>1126</v>
      </c>
      <c r="J24" s="170" t="s">
        <v>637</v>
      </c>
      <c r="K24" s="129" t="s">
        <v>36</v>
      </c>
      <c r="L24" s="228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UP-IMS-MG17-PORT-1-To-LEAF2</v>
      </c>
      <c r="Q24" s="162">
        <v>308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prefix_vprn308</v>
      </c>
      <c r="AB24" s="74" t="str">
        <f>"vprn"&amp;Q24&amp;"_export"</f>
        <v>vprn308_export</v>
      </c>
      <c r="AC24" s="74"/>
      <c r="AD24" s="74" t="str">
        <f>LEFT(G28,FIND("/",G28)-1)</f>
        <v>192.168.3.103</v>
      </c>
      <c r="AE24" s="74" t="str">
        <f>LEFT(G29,FIND("/",G29)-1)</f>
        <v>192.168.3.105</v>
      </c>
      <c r="AF24" s="74" t="str">
        <f>LEFT(I28,FIND("/",I28)-1)</f>
        <v>2402:3a80:1fff:9::45</v>
      </c>
      <c r="AG24" s="74" t="str">
        <f>LEFT(I29,FIND("/",I29)-1)</f>
        <v>2402:3a80:1fff:9::47</v>
      </c>
      <c r="AH24" s="161">
        <v>300</v>
      </c>
      <c r="AI24" s="73" t="str">
        <f>"vprn"&amp;AH24&amp;"_import"</f>
        <v>vprn300_import</v>
      </c>
    </row>
    <row r="25" spans="1:35" ht="26.4">
      <c r="A25" s="56"/>
      <c r="B25" s="56" t="str">
        <f>B24</f>
        <v>INVIHR11AMB1SAEU01NK</v>
      </c>
      <c r="C25" s="378"/>
      <c r="D25" s="173" t="s">
        <v>1153</v>
      </c>
      <c r="E25" s="11">
        <f>MG1VPRNs!E25</f>
        <v>1118</v>
      </c>
      <c r="F25" s="156" t="s">
        <v>1227</v>
      </c>
      <c r="G25" s="163" t="s">
        <v>1115</v>
      </c>
      <c r="H25" s="163" t="s">
        <v>231</v>
      </c>
      <c r="I25" s="164" t="s">
        <v>1127</v>
      </c>
      <c r="J25" s="167" t="s">
        <v>639</v>
      </c>
      <c r="K25" s="129" t="s">
        <v>36</v>
      </c>
      <c r="L25" s="228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UP-IMS-MG17-PORT-2-To-LEAF2</v>
      </c>
      <c r="Q25" s="12" t="s">
        <v>36</v>
      </c>
      <c r="R25" s="52">
        <f t="shared" ref="R25:T27" si="11">R24</f>
        <v>100</v>
      </c>
      <c r="S25" s="52">
        <f t="shared" si="11"/>
        <v>100</v>
      </c>
      <c r="T25" s="52">
        <f t="shared" si="11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 ht="26.4">
      <c r="A26" s="56"/>
      <c r="B26" s="56" t="str">
        <f t="shared" ref="B26:B29" si="12">B25</f>
        <v>INVIHR11AMB1SAEU01NK</v>
      </c>
      <c r="C26" s="378"/>
      <c r="D26" s="173" t="s">
        <v>1154</v>
      </c>
      <c r="E26" s="11">
        <f>MG1VPRNs!E26</f>
        <v>1128</v>
      </c>
      <c r="F26" s="156" t="s">
        <v>1218</v>
      </c>
      <c r="G26" s="163" t="s">
        <v>1116</v>
      </c>
      <c r="H26" s="163" t="s">
        <v>233</v>
      </c>
      <c r="I26" s="164" t="s">
        <v>1128</v>
      </c>
      <c r="J26" s="167" t="s">
        <v>641</v>
      </c>
      <c r="K26" s="129" t="s">
        <v>36</v>
      </c>
      <c r="L26" s="228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UP-IMS-MG18-PORT-1-To-LEAF2</v>
      </c>
      <c r="Q26" s="12" t="s">
        <v>36</v>
      </c>
      <c r="R26" s="52">
        <f t="shared" si="11"/>
        <v>100</v>
      </c>
      <c r="S26" s="52">
        <f t="shared" si="11"/>
        <v>100</v>
      </c>
      <c r="T26" s="52">
        <f t="shared" si="11"/>
        <v>3</v>
      </c>
      <c r="U26" s="52" t="str">
        <f>U25</f>
        <v>Static</v>
      </c>
      <c r="V26" s="52" t="str">
        <f t="shared" ref="V26:V27" si="13">V25</f>
        <v>0.0.0.0/0</v>
      </c>
      <c r="W26" s="254" t="str">
        <f>LEFT(H26,FIND("/",H26)-1)</f>
        <v>192.168.1.190</v>
      </c>
      <c r="X26" s="76" t="str">
        <f t="shared" ref="X26:X27" si="14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 ht="26.4">
      <c r="A27" s="56"/>
      <c r="B27" s="56" t="str">
        <f t="shared" si="12"/>
        <v>INVIHR11AMB1SAEU01NK</v>
      </c>
      <c r="C27" s="378"/>
      <c r="D27" s="173" t="s">
        <v>1155</v>
      </c>
      <c r="E27" s="11">
        <f>MG1VPRNs!E27</f>
        <v>1138</v>
      </c>
      <c r="F27" s="156" t="s">
        <v>1219</v>
      </c>
      <c r="G27" s="163" t="s">
        <v>1117</v>
      </c>
      <c r="H27" s="163" t="s">
        <v>235</v>
      </c>
      <c r="I27" s="165" t="s">
        <v>1129</v>
      </c>
      <c r="J27" s="168" t="s">
        <v>643</v>
      </c>
      <c r="K27" s="129" t="s">
        <v>36</v>
      </c>
      <c r="L27" s="228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UP-IMS-MG18-PORT-2-To-LEAF2</v>
      </c>
      <c r="Q27" s="12" t="s">
        <v>36</v>
      </c>
      <c r="R27" s="52">
        <f t="shared" si="11"/>
        <v>100</v>
      </c>
      <c r="S27" s="52">
        <f t="shared" si="11"/>
        <v>100</v>
      </c>
      <c r="T27" s="52">
        <f t="shared" si="11"/>
        <v>3</v>
      </c>
      <c r="U27" s="87" t="str">
        <f>U26</f>
        <v>Static</v>
      </c>
      <c r="V27" s="52" t="str">
        <f t="shared" si="13"/>
        <v>0.0.0.0/0</v>
      </c>
      <c r="W27" s="254" t="str">
        <f>LEFT(H27,FIND("/",H27)-1)</f>
        <v>192.168.2.190</v>
      </c>
      <c r="X27" s="76" t="str">
        <f t="shared" si="14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2"/>
        <v>INVIHR11AMB1SAEU01NK</v>
      </c>
      <c r="C28" s="378"/>
      <c r="D28" s="27"/>
      <c r="E28" s="56"/>
      <c r="F28" s="156" t="s">
        <v>1234</v>
      </c>
      <c r="G28" s="131" t="s">
        <v>1184</v>
      </c>
      <c r="H28" s="79"/>
      <c r="I28" s="156" t="s">
        <v>1182</v>
      </c>
      <c r="J28" s="56" t="s">
        <v>36</v>
      </c>
      <c r="K28" s="157"/>
      <c r="L28" s="228" t="s">
        <v>36</v>
      </c>
      <c r="M28" s="228"/>
      <c r="N28" s="72" t="s">
        <v>70</v>
      </c>
      <c r="O28" s="157" t="s">
        <v>83</v>
      </c>
      <c r="P28" s="52" t="str">
        <f t="shared" ref="P28:P29" si="15">F28</f>
        <v>UP-IMS-MG-GRP-8-lo1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2"/>
        <v>INVIHR11AMB1SAEU01NK</v>
      </c>
      <c r="C29" s="378"/>
      <c r="D29" s="27"/>
      <c r="E29" s="56"/>
      <c r="F29" s="156" t="s">
        <v>1235</v>
      </c>
      <c r="G29" s="131" t="s">
        <v>1185</v>
      </c>
      <c r="H29" s="79"/>
      <c r="I29" s="156" t="s">
        <v>1183</v>
      </c>
      <c r="J29" s="56" t="s">
        <v>36</v>
      </c>
      <c r="K29" s="157"/>
      <c r="L29" s="228" t="s">
        <v>36</v>
      </c>
      <c r="M29" s="243"/>
      <c r="N29" s="72" t="str">
        <f>N28</f>
        <v>Loopback3</v>
      </c>
      <c r="O29" s="157" t="s">
        <v>83</v>
      </c>
      <c r="P29" s="52" t="str">
        <f t="shared" si="15"/>
        <v>UP-IMS-MG-GRP-8-lo2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235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172" t="s">
        <v>1152</v>
      </c>
      <c r="E31" s="204">
        <f>MG1VPRNs!E31</f>
        <v>1500</v>
      </c>
      <c r="F31" s="159" t="s">
        <v>1228</v>
      </c>
      <c r="G31" s="73" t="s">
        <v>36</v>
      </c>
      <c r="H31" s="73" t="str">
        <f t="shared" ref="H31:H40" si="16">G31</f>
        <v>NA</v>
      </c>
      <c r="I31" s="159" t="s">
        <v>1254</v>
      </c>
      <c r="J31" s="159" t="s">
        <v>691</v>
      </c>
      <c r="K31" s="129" t="s">
        <v>36</v>
      </c>
      <c r="L31" s="228" t="s">
        <v>36</v>
      </c>
      <c r="M31" s="132" t="s">
        <v>36</v>
      </c>
      <c r="N31" s="88" t="s">
        <v>67</v>
      </c>
      <c r="O31" s="73"/>
      <c r="P31" s="52" t="str">
        <f t="shared" ref="P31:P38" si="17">""&amp;F31&amp;"-To-LEAF2"</f>
        <v>Non-NAT-IPv6-MG17-PORT-1-To-LEAF2</v>
      </c>
      <c r="Q31" s="162">
        <v>1308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8">LEFT(J31,FIND("/",J31)-1)</f>
        <v>2402:3a80:1fff:5::1</v>
      </c>
      <c r="Z31" s="77">
        <f>Z24</f>
        <v>65010</v>
      </c>
      <c r="AA31" s="73" t="str">
        <f>"prefix_vprn"&amp;Q31&amp;""</f>
        <v>prefix_vprn1308</v>
      </c>
      <c r="AB31" s="74" t="str">
        <f>"vprn"&amp;Q31&amp;"_export"</f>
        <v>vprn1308_export</v>
      </c>
      <c r="AC31" s="74"/>
      <c r="AD31" s="74" t="s">
        <v>36</v>
      </c>
      <c r="AE31" s="74" t="s">
        <v>36</v>
      </c>
      <c r="AF31" s="74" t="str">
        <f>LEFT(I34,FIND("/",I34)-1)</f>
        <v>2402:3a80:1fff:8::a</v>
      </c>
      <c r="AG31" s="74" t="str">
        <f>LEFT(I39,FIND("/",I39)-1)</f>
        <v>2402:3a80:1fff:9::1e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173" t="s">
        <v>1153</v>
      </c>
      <c r="E32" s="204">
        <f>MG1VPRNs!E32</f>
        <v>1510</v>
      </c>
      <c r="F32" s="159" t="s">
        <v>1229</v>
      </c>
      <c r="G32" s="56" t="s">
        <v>36</v>
      </c>
      <c r="H32" s="56" t="str">
        <f t="shared" si="16"/>
        <v>NA</v>
      </c>
      <c r="I32" s="159" t="s">
        <v>1255</v>
      </c>
      <c r="J32" s="159" t="s">
        <v>693</v>
      </c>
      <c r="K32" s="129" t="s">
        <v>36</v>
      </c>
      <c r="L32" s="228" t="s">
        <v>36</v>
      </c>
      <c r="M32" s="132" t="s">
        <v>36</v>
      </c>
      <c r="N32" s="72" t="str">
        <f>N31</f>
        <v>Physical4</v>
      </c>
      <c r="O32" s="56"/>
      <c r="P32" s="52" t="str">
        <f t="shared" si="17"/>
        <v>Non-NAT-IPv6-MG17-PORT-2-To-LEAF2</v>
      </c>
      <c r="Q32" s="12" t="s">
        <v>36</v>
      </c>
      <c r="R32" s="52">
        <f t="shared" ref="R32:U38" si="19">R31</f>
        <v>100</v>
      </c>
      <c r="S32" s="52">
        <f t="shared" si="19"/>
        <v>100</v>
      </c>
      <c r="T32" s="52">
        <f t="shared" si="19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8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20">B32</f>
        <v>INVIHR11AMB1SAEU01NK</v>
      </c>
      <c r="C33" s="376"/>
      <c r="D33" s="173" t="s">
        <v>1154</v>
      </c>
      <c r="E33" s="204">
        <f>MG1VPRNs!E33</f>
        <v>1520</v>
      </c>
      <c r="F33" s="159" t="s">
        <v>1220</v>
      </c>
      <c r="G33" s="56" t="s">
        <v>36</v>
      </c>
      <c r="H33" s="56" t="str">
        <f t="shared" si="16"/>
        <v>NA</v>
      </c>
      <c r="I33" s="159" t="s">
        <v>1256</v>
      </c>
      <c r="J33" s="159" t="s">
        <v>695</v>
      </c>
      <c r="K33" s="129" t="s">
        <v>36</v>
      </c>
      <c r="L33" s="228" t="s">
        <v>36</v>
      </c>
      <c r="M33" s="132" t="s">
        <v>36</v>
      </c>
      <c r="N33" s="72" t="str">
        <f>N31</f>
        <v>Physical4</v>
      </c>
      <c r="O33" s="56"/>
      <c r="P33" s="52" t="str">
        <f t="shared" si="17"/>
        <v>Non-NAT-IPv6-MG18-PORT-1-To-LEAF2</v>
      </c>
      <c r="Q33" s="12" t="s">
        <v>36</v>
      </c>
      <c r="R33" s="52">
        <f t="shared" si="19"/>
        <v>100</v>
      </c>
      <c r="S33" s="52">
        <f t="shared" si="19"/>
        <v>100</v>
      </c>
      <c r="T33" s="52">
        <f t="shared" si="19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21">X32</f>
        <v>::/0</v>
      </c>
      <c r="Y33" s="18" t="str">
        <f t="shared" si="18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20"/>
        <v>INVIHR11AMB1SAEU01NK</v>
      </c>
      <c r="C34" s="376"/>
      <c r="D34" s="173" t="s">
        <v>1155</v>
      </c>
      <c r="E34" s="204">
        <f>MG1VPRNs!E34</f>
        <v>1530</v>
      </c>
      <c r="F34" s="159" t="s">
        <v>1221</v>
      </c>
      <c r="G34" s="56" t="s">
        <v>36</v>
      </c>
      <c r="H34" s="56" t="str">
        <f t="shared" si="16"/>
        <v>NA</v>
      </c>
      <c r="I34" s="159" t="s">
        <v>1257</v>
      </c>
      <c r="J34" s="159" t="s">
        <v>697</v>
      </c>
      <c r="K34" s="129" t="s">
        <v>36</v>
      </c>
      <c r="L34" s="228" t="s">
        <v>36</v>
      </c>
      <c r="M34" s="132" t="s">
        <v>36</v>
      </c>
      <c r="N34" s="72" t="str">
        <f>N31</f>
        <v>Physical4</v>
      </c>
      <c r="O34" s="56"/>
      <c r="P34" s="52" t="str">
        <f t="shared" si="17"/>
        <v>Non-NAT-IPv6-MG18-PORT-2-To-LEAF2</v>
      </c>
      <c r="Q34" s="12" t="s">
        <v>36</v>
      </c>
      <c r="R34" s="52">
        <f t="shared" si="19"/>
        <v>100</v>
      </c>
      <c r="S34" s="52">
        <f t="shared" si="19"/>
        <v>100</v>
      </c>
      <c r="T34" s="52">
        <f t="shared" si="19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21"/>
        <v>::/0</v>
      </c>
      <c r="Y34" s="18" t="str">
        <f t="shared" si="18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20"/>
        <v>INVIHR11AMB1SAEU01NK</v>
      </c>
      <c r="C35" s="376"/>
      <c r="D35" s="172" t="s">
        <v>1152</v>
      </c>
      <c r="E35" s="205">
        <f>MG1VPRNs!E35</f>
        <v>1300</v>
      </c>
      <c r="F35" s="159" t="s">
        <v>1230</v>
      </c>
      <c r="G35" s="56" t="s">
        <v>36</v>
      </c>
      <c r="H35" s="56" t="str">
        <f t="shared" si="16"/>
        <v>NA</v>
      </c>
      <c r="I35" s="159" t="s">
        <v>1278</v>
      </c>
      <c r="J35" s="159" t="s">
        <v>1279</v>
      </c>
      <c r="K35" s="129" t="s">
        <v>36</v>
      </c>
      <c r="L35" s="228" t="s">
        <v>36</v>
      </c>
      <c r="M35" s="132" t="s">
        <v>36</v>
      </c>
      <c r="N35" s="72" t="str">
        <f t="shared" ref="N35:N38" si="22">N32</f>
        <v>Physical4</v>
      </c>
      <c r="O35" s="56"/>
      <c r="P35" s="52" t="str">
        <f t="shared" si="17"/>
        <v>TO-NAT-Redirect-MG17-PORT-1-To-LEAF2</v>
      </c>
      <c r="Q35" s="12" t="s">
        <v>36</v>
      </c>
      <c r="R35" s="52">
        <f t="shared" si="19"/>
        <v>100</v>
      </c>
      <c r="S35" s="52">
        <f t="shared" si="19"/>
        <v>100</v>
      </c>
      <c r="T35" s="52">
        <f t="shared" si="19"/>
        <v>3</v>
      </c>
      <c r="U35" s="52" t="str">
        <f t="shared" si="19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8"/>
        <v>2402:3a80:1fff:10::21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20"/>
        <v>INVIHR11AMB1SAEU01NK</v>
      </c>
      <c r="C36" s="376"/>
      <c r="D36" s="173" t="s">
        <v>1153</v>
      </c>
      <c r="E36" s="205">
        <f>MG1VPRNs!E36</f>
        <v>1310</v>
      </c>
      <c r="F36" s="159" t="s">
        <v>1231</v>
      </c>
      <c r="G36" s="56" t="s">
        <v>36</v>
      </c>
      <c r="H36" s="56" t="str">
        <f t="shared" si="16"/>
        <v>NA</v>
      </c>
      <c r="I36" s="159" t="s">
        <v>1280</v>
      </c>
      <c r="J36" s="159" t="s">
        <v>1281</v>
      </c>
      <c r="K36" s="129" t="s">
        <v>36</v>
      </c>
      <c r="L36" s="228" t="s">
        <v>36</v>
      </c>
      <c r="M36" s="132" t="s">
        <v>36</v>
      </c>
      <c r="N36" s="72" t="str">
        <f t="shared" si="22"/>
        <v>Physical4</v>
      </c>
      <c r="O36" s="56"/>
      <c r="P36" s="52" t="str">
        <f t="shared" si="17"/>
        <v>TO-NAT-Redirect-MG17-PORT-2-To-LEAF2</v>
      </c>
      <c r="Q36" s="12" t="s">
        <v>36</v>
      </c>
      <c r="R36" s="52">
        <f t="shared" si="19"/>
        <v>100</v>
      </c>
      <c r="S36" s="52">
        <f t="shared" si="19"/>
        <v>100</v>
      </c>
      <c r="T36" s="52">
        <f t="shared" si="19"/>
        <v>3</v>
      </c>
      <c r="U36" s="52" t="str">
        <f t="shared" si="19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8"/>
        <v>2402:3a80:1fff:11::21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20"/>
        <v>INVIHR11AMB1SAEU01NK</v>
      </c>
      <c r="C37" s="376"/>
      <c r="D37" s="173" t="s">
        <v>1154</v>
      </c>
      <c r="E37" s="205">
        <f>MG1VPRNs!E37</f>
        <v>1320</v>
      </c>
      <c r="F37" s="159" t="s">
        <v>1222</v>
      </c>
      <c r="G37" s="56" t="s">
        <v>36</v>
      </c>
      <c r="H37" s="56" t="str">
        <f t="shared" si="16"/>
        <v>NA</v>
      </c>
      <c r="I37" s="159" t="s">
        <v>1282</v>
      </c>
      <c r="J37" s="159" t="s">
        <v>1283</v>
      </c>
      <c r="K37" s="129" t="s">
        <v>36</v>
      </c>
      <c r="L37" s="228" t="s">
        <v>36</v>
      </c>
      <c r="M37" s="132" t="s">
        <v>36</v>
      </c>
      <c r="N37" s="72" t="str">
        <f t="shared" si="22"/>
        <v>Physical4</v>
      </c>
      <c r="O37" s="56"/>
      <c r="P37" s="52" t="str">
        <f t="shared" si="17"/>
        <v>TO-NAT-Redirect-MG18-PORT-1-To-LEAF2</v>
      </c>
      <c r="Q37" s="12" t="s">
        <v>36</v>
      </c>
      <c r="R37" s="52">
        <f t="shared" si="19"/>
        <v>100</v>
      </c>
      <c r="S37" s="52">
        <f t="shared" si="19"/>
        <v>100</v>
      </c>
      <c r="T37" s="52">
        <f t="shared" si="19"/>
        <v>3</v>
      </c>
      <c r="U37" s="52" t="str">
        <f t="shared" si="19"/>
        <v>Static</v>
      </c>
      <c r="V37" s="253" t="s">
        <v>36</v>
      </c>
      <c r="W37" s="253" t="s">
        <v>36</v>
      </c>
      <c r="X37" s="208" t="str">
        <f t="shared" ref="X37:X38" si="23">X36</f>
        <v>2402:3a80:1fff:3f::/96</v>
      </c>
      <c r="Y37" s="18" t="str">
        <f t="shared" si="18"/>
        <v>2402:3a80:1fff:12::21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20"/>
        <v>INVIHR11AMB1SAEU01NK</v>
      </c>
      <c r="C38" s="376"/>
      <c r="D38" s="173" t="s">
        <v>1155</v>
      </c>
      <c r="E38" s="205">
        <f>MG1VPRNs!E38</f>
        <v>1330</v>
      </c>
      <c r="F38" s="159" t="s">
        <v>1223</v>
      </c>
      <c r="G38" s="56" t="s">
        <v>36</v>
      </c>
      <c r="H38" s="56" t="str">
        <f t="shared" si="16"/>
        <v>NA</v>
      </c>
      <c r="I38" s="159" t="s">
        <v>1284</v>
      </c>
      <c r="J38" s="159" t="s">
        <v>1285</v>
      </c>
      <c r="K38" s="129" t="s">
        <v>36</v>
      </c>
      <c r="L38" s="228" t="s">
        <v>36</v>
      </c>
      <c r="M38" s="132" t="s">
        <v>36</v>
      </c>
      <c r="N38" s="72" t="str">
        <f t="shared" si="22"/>
        <v>Physical4</v>
      </c>
      <c r="O38" s="56"/>
      <c r="P38" s="52" t="str">
        <f t="shared" si="17"/>
        <v>TO-NAT-Redirect-MG18-PORT-2-To-LEAF2</v>
      </c>
      <c r="Q38" s="12" t="s">
        <v>36</v>
      </c>
      <c r="R38" s="52">
        <f t="shared" si="19"/>
        <v>100</v>
      </c>
      <c r="S38" s="52">
        <f t="shared" si="19"/>
        <v>100</v>
      </c>
      <c r="T38" s="52">
        <f t="shared" si="19"/>
        <v>3</v>
      </c>
      <c r="U38" s="52" t="str">
        <f t="shared" si="19"/>
        <v>Static</v>
      </c>
      <c r="V38" s="253" t="s">
        <v>36</v>
      </c>
      <c r="W38" s="253" t="s">
        <v>36</v>
      </c>
      <c r="X38" s="208" t="str">
        <f t="shared" si="23"/>
        <v>2402:3a80:1fff:3f::/96</v>
      </c>
      <c r="Y38" s="18" t="str">
        <f t="shared" si="18"/>
        <v>2402:3a80:1fff:13::21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1236</v>
      </c>
      <c r="G39" s="56" t="s">
        <v>36</v>
      </c>
      <c r="H39" s="56" t="str">
        <f t="shared" si="16"/>
        <v>NA</v>
      </c>
      <c r="I39" s="159" t="s">
        <v>1264</v>
      </c>
      <c r="J39" s="56"/>
      <c r="K39" s="156"/>
      <c r="L39" s="228" t="s">
        <v>36</v>
      </c>
      <c r="M39" s="228"/>
      <c r="N39" s="72" t="s">
        <v>72</v>
      </c>
      <c r="O39" s="156" t="s">
        <v>83</v>
      </c>
      <c r="P39" s="52" t="str">
        <f t="shared" ref="P39:P41" si="24">F39</f>
        <v>NAT-IPv6-MG-GRP-8-lo1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20"/>
        <v>INVIHR11AMB1SAEU01NK</v>
      </c>
      <c r="C40" s="376"/>
      <c r="D40" s="236"/>
      <c r="E40" s="56"/>
      <c r="F40" s="159" t="s">
        <v>1237</v>
      </c>
      <c r="G40" s="56" t="s">
        <v>36</v>
      </c>
      <c r="H40" s="56" t="str">
        <f t="shared" si="16"/>
        <v>NA</v>
      </c>
      <c r="I40" s="159" t="s">
        <v>1265</v>
      </c>
      <c r="J40" s="56"/>
      <c r="K40" s="156"/>
      <c r="L40" s="228" t="s">
        <v>36</v>
      </c>
      <c r="M40" s="228"/>
      <c r="N40" s="72" t="str">
        <f>N39</f>
        <v>Loopback4</v>
      </c>
      <c r="O40" s="156" t="s">
        <v>83</v>
      </c>
      <c r="P40" s="52" t="str">
        <f t="shared" si="24"/>
        <v>NAT-IPv6-MG-GRP-8-lo2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20"/>
        <v>INVIHR11AMB1SAEU01NK</v>
      </c>
      <c r="C41" s="376"/>
      <c r="D41" s="237"/>
      <c r="E41" s="84"/>
      <c r="F41" s="203" t="s">
        <v>1105</v>
      </c>
      <c r="G41" s="207">
        <f>'[2]External Interfaces'!$H$67</f>
        <v>0</v>
      </c>
      <c r="H41" s="84" t="s">
        <v>36</v>
      </c>
      <c r="I41" s="207">
        <f>'[2]External Interfaces'!$I$67</f>
        <v>0</v>
      </c>
      <c r="J41" s="84"/>
      <c r="K41" s="157"/>
      <c r="L41" s="228" t="s">
        <v>36</v>
      </c>
      <c r="M41" s="243"/>
      <c r="N41" s="85" t="str">
        <f>N40</f>
        <v>Loopback4</v>
      </c>
      <c r="O41" s="157" t="s">
        <v>84</v>
      </c>
      <c r="P41" s="52" t="str">
        <f t="shared" si="24"/>
        <v>www-pool8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prefix_vprn1308</v>
      </c>
      <c r="AB41" s="84" t="str">
        <f>AB31</f>
        <v>vprn1308_export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235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172" t="s">
        <v>1152</v>
      </c>
      <c r="E43" s="77">
        <f>MG1VPRNs!E43</f>
        <v>1400</v>
      </c>
      <c r="F43" s="159" t="s">
        <v>1385</v>
      </c>
      <c r="G43" s="73" t="s">
        <v>36</v>
      </c>
      <c r="H43" s="73" t="str">
        <f t="shared" ref="H43:H46" si="25">G43</f>
        <v>NA</v>
      </c>
      <c r="I43" s="159" t="s">
        <v>1318</v>
      </c>
      <c r="J43" s="159" t="s">
        <v>1319</v>
      </c>
      <c r="K43" s="194">
        <v>1408</v>
      </c>
      <c r="L43" s="228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IPv6-1408-MG17-to-WBX-1-To-1308</v>
      </c>
      <c r="Q43" s="162">
        <v>1408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>
        <f>I41</f>
        <v>0</v>
      </c>
      <c r="Y43" s="18" t="str">
        <f>LEFT(J43,FIND("/",J43)-1)</f>
        <v>2402:3a80:1fff:14::21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173" t="s">
        <v>1153</v>
      </c>
      <c r="E44" s="77">
        <f>MG1VPRNs!E44</f>
        <v>1410</v>
      </c>
      <c r="F44" s="159" t="s">
        <v>1386</v>
      </c>
      <c r="G44" s="56" t="s">
        <v>36</v>
      </c>
      <c r="H44" s="56" t="str">
        <f t="shared" si="25"/>
        <v>NA</v>
      </c>
      <c r="I44" s="159" t="s">
        <v>1320</v>
      </c>
      <c r="J44" s="159" t="s">
        <v>1321</v>
      </c>
      <c r="K44" s="194">
        <v>1408</v>
      </c>
      <c r="L44" s="228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IPv6-1408-MG17-to-WBX-2-To-1308</v>
      </c>
      <c r="Q44" s="12" t="s">
        <v>36</v>
      </c>
      <c r="R44" s="52">
        <f t="shared" ref="R44:T46" si="26">R43</f>
        <v>100</v>
      </c>
      <c r="S44" s="52">
        <f t="shared" si="26"/>
        <v>100</v>
      </c>
      <c r="T44" s="52">
        <f t="shared" si="26"/>
        <v>3</v>
      </c>
      <c r="U44" s="52" t="str">
        <f>U43</f>
        <v>Static</v>
      </c>
      <c r="V44" s="253" t="s">
        <v>36</v>
      </c>
      <c r="W44" s="253" t="s">
        <v>36</v>
      </c>
      <c r="X44" s="10">
        <f>X43</f>
        <v>0</v>
      </c>
      <c r="Y44" s="10" t="str">
        <f>LEFT(J44,FIND("/",J44)-1)</f>
        <v>2402:3a80:1fff:15::21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7">B44</f>
        <v>INVIHR11AMB1SAEU01NK</v>
      </c>
      <c r="C45" s="376"/>
      <c r="D45" s="173" t="s">
        <v>1154</v>
      </c>
      <c r="E45" s="77">
        <f>MG1VPRNs!E45</f>
        <v>1420</v>
      </c>
      <c r="F45" s="159" t="s">
        <v>1387</v>
      </c>
      <c r="G45" s="56" t="s">
        <v>36</v>
      </c>
      <c r="H45" s="56" t="str">
        <f t="shared" si="25"/>
        <v>NA</v>
      </c>
      <c r="I45" s="159" t="s">
        <v>1322</v>
      </c>
      <c r="J45" s="159" t="s">
        <v>1323</v>
      </c>
      <c r="K45" s="194">
        <v>1408</v>
      </c>
      <c r="L45" s="228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IPv6-1408-MG18-to-WBX-1-To-1308</v>
      </c>
      <c r="Q45" s="12" t="s">
        <v>36</v>
      </c>
      <c r="R45" s="52">
        <f t="shared" si="26"/>
        <v>100</v>
      </c>
      <c r="S45" s="52">
        <f t="shared" si="26"/>
        <v>100</v>
      </c>
      <c r="T45" s="52">
        <f t="shared" si="26"/>
        <v>3</v>
      </c>
      <c r="U45" s="52" t="str">
        <f>U44</f>
        <v>Static</v>
      </c>
      <c r="V45" s="253" t="s">
        <v>36</v>
      </c>
      <c r="W45" s="253" t="s">
        <v>36</v>
      </c>
      <c r="X45" s="10">
        <f t="shared" ref="X45:X46" si="28">X44</f>
        <v>0</v>
      </c>
      <c r="Y45" s="10" t="str">
        <f>LEFT(J45,FIND("/",J45)-1)</f>
        <v>2402:3a80:1fff:16::21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7"/>
        <v>INVIHR11AMB1SAEU01NK</v>
      </c>
      <c r="C46" s="376"/>
      <c r="D46" s="173" t="s">
        <v>1155</v>
      </c>
      <c r="E46" s="210">
        <f>MG1VPRNs!E46</f>
        <v>1430</v>
      </c>
      <c r="F46" s="159" t="s">
        <v>1388</v>
      </c>
      <c r="G46" s="56" t="s">
        <v>36</v>
      </c>
      <c r="H46" s="56" t="str">
        <f t="shared" si="25"/>
        <v>NA</v>
      </c>
      <c r="I46" s="159" t="s">
        <v>1324</v>
      </c>
      <c r="J46" s="159" t="s">
        <v>1325</v>
      </c>
      <c r="K46" s="194">
        <v>1408</v>
      </c>
      <c r="L46" s="228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IPv6-1408-MG18-to-WBX-2-To-1308</v>
      </c>
      <c r="Q46" s="14" t="s">
        <v>36</v>
      </c>
      <c r="R46" s="87">
        <f t="shared" si="26"/>
        <v>100</v>
      </c>
      <c r="S46" s="87">
        <f t="shared" si="26"/>
        <v>100</v>
      </c>
      <c r="T46" s="87">
        <f t="shared" si="26"/>
        <v>3</v>
      </c>
      <c r="U46" s="87" t="str">
        <f>U45</f>
        <v>Static</v>
      </c>
      <c r="V46" s="145" t="s">
        <v>36</v>
      </c>
      <c r="W46" s="145" t="s">
        <v>36</v>
      </c>
      <c r="X46" s="10">
        <f t="shared" si="28"/>
        <v>0</v>
      </c>
      <c r="Y46" s="202" t="str">
        <f>LEFT(J46,FIND("/",J46)-1)</f>
        <v>2402:3a80:1fff:17::21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235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  <row r="48" spans="1:35">
      <c r="A48" s="59"/>
      <c r="B48" s="59"/>
      <c r="C48" s="59"/>
      <c r="D48" s="233"/>
      <c r="E48" s="59"/>
      <c r="F48" s="59"/>
      <c r="G48" s="59"/>
      <c r="H48" s="59"/>
      <c r="I48" s="59"/>
      <c r="J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</row>
    <row r="49" spans="1:35">
      <c r="A49" s="59"/>
      <c r="B49" s="59"/>
      <c r="C49" s="59"/>
      <c r="D49" s="233"/>
      <c r="E49" s="59"/>
      <c r="F49" s="59"/>
      <c r="G49" s="59"/>
      <c r="H49" s="59"/>
      <c r="I49" s="59"/>
      <c r="J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</row>
  </sheetData>
  <mergeCells count="12">
    <mergeCell ref="B1:B3"/>
    <mergeCell ref="C4:AF4"/>
    <mergeCell ref="D5:P5"/>
    <mergeCell ref="Q5:AI5"/>
    <mergeCell ref="R6:T6"/>
    <mergeCell ref="U6:Z6"/>
    <mergeCell ref="AA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U8:U29 U31:U40 U43:U46" xr:uid="{3BE6669C-C735-4022-951F-5B4427BEB70A}">
      <formula1>$U$1:$U$3</formula1>
    </dataValidation>
    <dataValidation type="list" allowBlank="1" showInputMessage="1" showErrorMessage="1" sqref="AC8:AC29 AC31:AC41 AC43:AC46" xr:uid="{9F63DB8F-9594-4893-B460-84FFC0659677}">
      <formula1>$AC$1:$AC$3</formula1>
    </dataValidation>
    <dataValidation type="list" allowBlank="1" showInputMessage="1" showErrorMessage="1" sqref="O8:O29 O39:O41" xr:uid="{AD7ABCA2-EB47-46B2-B0D8-D094514C3636}">
      <formula1>$O$1:$O$2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78C8-BC67-44D3-86A8-4C515CC2DBCC}">
  <sheetPr codeName="Sheet29"/>
  <dimension ref="A1:AI47"/>
  <sheetViews>
    <sheetView topLeftCell="L26" workbookViewId="0">
      <selection activeCell="V26" sqref="V26"/>
    </sheetView>
  </sheetViews>
  <sheetFormatPr defaultRowHeight="14.4"/>
  <cols>
    <col min="1" max="1" width="2.6640625" bestFit="1" customWidth="1"/>
    <col min="2" max="2" width="17.6640625" bestFit="1" customWidth="1"/>
    <col min="3" max="3" width="20" bestFit="1" customWidth="1"/>
    <col min="4" max="5" width="6.5546875" bestFit="1" customWidth="1"/>
    <col min="6" max="6" width="29.6640625" bestFit="1" customWidth="1"/>
    <col min="7" max="8" width="15.33203125" bestFit="1" customWidth="1"/>
    <col min="9" max="9" width="21.44140625" bestFit="1" customWidth="1"/>
    <col min="10" max="10" width="19.33203125" bestFit="1" customWidth="1"/>
    <col min="11" max="12" width="6.88671875" bestFit="1" customWidth="1"/>
    <col min="13" max="13" width="6.5546875" bestFit="1" customWidth="1"/>
    <col min="14" max="14" width="12.6640625" bestFit="1" customWidth="1"/>
    <col min="15" max="15" width="9.109375" bestFit="1" customWidth="1"/>
    <col min="16" max="16" width="31.88671875" bestFit="1" customWidth="1"/>
    <col min="17" max="17" width="6.109375" bestFit="1" customWidth="1"/>
    <col min="18" max="19" width="4" bestFit="1" customWidth="1"/>
    <col min="20" max="20" width="9" bestFit="1" customWidth="1"/>
    <col min="21" max="21" width="12.109375" bestFit="1" customWidth="1"/>
    <col min="22" max="22" width="16.109375" bestFit="1" customWidth="1"/>
    <col min="23" max="23" width="19" bestFit="1" customWidth="1"/>
    <col min="24" max="24" width="19.88671875" bestFit="1" customWidth="1"/>
    <col min="25" max="25" width="21.44140625" bestFit="1" customWidth="1"/>
    <col min="26" max="26" width="7.44140625" bestFit="1" customWidth="1"/>
    <col min="27" max="27" width="13.88671875" bestFit="1" customWidth="1"/>
    <col min="28" max="28" width="17" bestFit="1" customWidth="1"/>
    <col min="29" max="29" width="13.6640625" bestFit="1" customWidth="1"/>
    <col min="30" max="31" width="12.33203125" bestFit="1" customWidth="1"/>
    <col min="32" max="33" width="17.5546875" bestFit="1" customWidth="1"/>
    <col min="34" max="34" width="18.33203125" bestFit="1" customWidth="1"/>
    <col min="35" max="35" width="15.33203125" bestFit="1" customWidth="1"/>
  </cols>
  <sheetData>
    <row r="1" spans="1:35" ht="23.4">
      <c r="A1" s="58" t="s">
        <v>6</v>
      </c>
      <c r="B1" s="344" t="s">
        <v>378</v>
      </c>
      <c r="C1" s="256"/>
      <c r="D1" s="231"/>
      <c r="E1" s="51" t="s">
        <v>533</v>
      </c>
      <c r="F1" s="57" t="s">
        <v>536</v>
      </c>
      <c r="G1" s="57" t="s">
        <v>536</v>
      </c>
      <c r="H1" s="57" t="s">
        <v>536</v>
      </c>
      <c r="I1" s="57" t="s">
        <v>536</v>
      </c>
      <c r="J1" s="57" t="s">
        <v>536</v>
      </c>
      <c r="K1" s="57" t="s">
        <v>536</v>
      </c>
      <c r="L1" s="51" t="s">
        <v>536</v>
      </c>
      <c r="M1" s="239">
        <v>1600</v>
      </c>
      <c r="N1" s="49" t="s">
        <v>534</v>
      </c>
      <c r="O1" s="57" t="s">
        <v>83</v>
      </c>
      <c r="P1" s="57"/>
      <c r="Q1" s="57"/>
      <c r="R1" s="57"/>
      <c r="S1" s="57"/>
      <c r="T1" s="57"/>
      <c r="U1" s="57" t="s">
        <v>370</v>
      </c>
      <c r="V1" s="57"/>
      <c r="W1" s="57"/>
      <c r="X1" s="57"/>
      <c r="Y1" s="47"/>
      <c r="Z1" s="57"/>
      <c r="AA1" s="57"/>
      <c r="AB1" s="57"/>
      <c r="AC1" s="57" t="s">
        <v>83</v>
      </c>
      <c r="AD1" s="57"/>
      <c r="AE1" s="52"/>
      <c r="AF1" s="52"/>
      <c r="AG1" s="56"/>
      <c r="AH1" s="56"/>
      <c r="AI1" s="56"/>
    </row>
    <row r="2" spans="1:35" ht="23.4">
      <c r="A2" s="58" t="s">
        <v>6</v>
      </c>
      <c r="B2" s="344"/>
      <c r="C2" s="256"/>
      <c r="D2" s="232"/>
      <c r="E2" s="51" t="s">
        <v>36</v>
      </c>
      <c r="F2" s="51"/>
      <c r="G2" s="51" t="s">
        <v>36</v>
      </c>
      <c r="H2" s="51" t="s">
        <v>36</v>
      </c>
      <c r="I2" s="51" t="s">
        <v>36</v>
      </c>
      <c r="J2" s="51" t="s">
        <v>36</v>
      </c>
      <c r="K2" s="51" t="s">
        <v>36</v>
      </c>
      <c r="L2" s="51" t="s">
        <v>36</v>
      </c>
      <c r="M2" s="51" t="s">
        <v>36</v>
      </c>
      <c r="N2" s="51" t="s">
        <v>535</v>
      </c>
      <c r="O2" s="51" t="s">
        <v>84</v>
      </c>
      <c r="P2" s="51"/>
      <c r="Q2" s="51"/>
      <c r="R2" s="51"/>
      <c r="S2" s="51"/>
      <c r="T2" s="51"/>
      <c r="U2" s="51"/>
      <c r="V2" s="51"/>
      <c r="W2" s="51"/>
      <c r="X2" s="51"/>
      <c r="Y2" s="48"/>
      <c r="Z2" s="51"/>
      <c r="AA2" s="51"/>
      <c r="AB2" s="51"/>
      <c r="AC2" s="51" t="s">
        <v>84</v>
      </c>
      <c r="AD2" s="51"/>
      <c r="AE2" s="52"/>
      <c r="AF2" s="52"/>
      <c r="AG2" s="56"/>
      <c r="AH2" s="56"/>
      <c r="AI2" s="56"/>
    </row>
    <row r="3" spans="1:35" ht="24" thickBot="1">
      <c r="A3" s="58" t="s">
        <v>6</v>
      </c>
      <c r="B3" s="344"/>
      <c r="C3" s="256"/>
      <c r="D3" s="232"/>
      <c r="E3" s="56"/>
      <c r="F3" s="51"/>
      <c r="G3" s="51"/>
      <c r="H3" s="51"/>
      <c r="I3" s="51"/>
      <c r="J3" s="51"/>
      <c r="K3" s="51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48"/>
      <c r="Z3" s="51"/>
      <c r="AA3" s="51"/>
      <c r="AB3" s="51"/>
      <c r="AC3" s="51"/>
      <c r="AD3" s="51"/>
      <c r="AE3" s="52"/>
      <c r="AF3" s="52"/>
      <c r="AG3" s="56"/>
      <c r="AH3" s="56"/>
      <c r="AI3" s="56"/>
    </row>
    <row r="4" spans="1:35" ht="15" thickBot="1">
      <c r="A4" s="60" t="s">
        <v>6</v>
      </c>
      <c r="B4" s="61" t="s">
        <v>14</v>
      </c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361"/>
      <c r="AH4" s="62"/>
      <c r="AI4" s="90"/>
    </row>
    <row r="5" spans="1:35" ht="15" thickBot="1">
      <c r="A5" s="60" t="s">
        <v>6</v>
      </c>
      <c r="B5" s="128" t="s">
        <v>15</v>
      </c>
      <c r="C5" s="59"/>
      <c r="D5" s="380" t="s">
        <v>372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1"/>
      <c r="Q5" s="382"/>
      <c r="R5" s="368" t="s">
        <v>373</v>
      </c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69"/>
    </row>
    <row r="6" spans="1:35" ht="15" thickBot="1">
      <c r="A6" s="60" t="s">
        <v>6</v>
      </c>
      <c r="B6" s="64" t="s">
        <v>16</v>
      </c>
      <c r="C6" s="65"/>
      <c r="D6" s="233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353" t="s">
        <v>374</v>
      </c>
      <c r="S6" s="354"/>
      <c r="T6" s="355"/>
      <c r="U6" s="255"/>
      <c r="V6" s="384" t="s">
        <v>375</v>
      </c>
      <c r="W6" s="384"/>
      <c r="X6" s="384"/>
      <c r="Y6" s="384"/>
      <c r="Z6" s="384"/>
      <c r="AA6" s="385"/>
      <c r="AB6" s="383" t="s">
        <v>376</v>
      </c>
      <c r="AC6" s="383"/>
      <c r="AD6" s="383"/>
      <c r="AE6" s="383"/>
      <c r="AF6" s="383"/>
      <c r="AG6" s="383"/>
      <c r="AH6" s="383"/>
      <c r="AI6" s="383"/>
    </row>
    <row r="7" spans="1:35" ht="15" thickBot="1">
      <c r="A7" s="66"/>
      <c r="B7" s="67" t="s">
        <v>17</v>
      </c>
      <c r="C7" s="67" t="s">
        <v>18</v>
      </c>
      <c r="D7" s="234" t="s">
        <v>19</v>
      </c>
      <c r="E7" s="67" t="s">
        <v>20</v>
      </c>
      <c r="F7" s="69" t="s">
        <v>21</v>
      </c>
      <c r="G7" s="67" t="s">
        <v>22</v>
      </c>
      <c r="H7" s="67" t="s">
        <v>23</v>
      </c>
      <c r="I7" s="70" t="s">
        <v>88</v>
      </c>
      <c r="J7" s="70" t="s">
        <v>89</v>
      </c>
      <c r="K7" s="67" t="s">
        <v>766</v>
      </c>
      <c r="L7" s="67" t="s">
        <v>974</v>
      </c>
      <c r="M7" s="67" t="s">
        <v>1335</v>
      </c>
      <c r="N7" s="67" t="s">
        <v>24</v>
      </c>
      <c r="O7" s="67" t="s">
        <v>140</v>
      </c>
      <c r="P7" s="67" t="s">
        <v>42</v>
      </c>
      <c r="Q7" s="67" t="s">
        <v>43</v>
      </c>
      <c r="R7" s="67" t="s">
        <v>25</v>
      </c>
      <c r="S7" s="67" t="s">
        <v>26</v>
      </c>
      <c r="T7" s="67" t="s">
        <v>27</v>
      </c>
      <c r="U7" s="67" t="s">
        <v>369</v>
      </c>
      <c r="V7" s="67" t="s">
        <v>762</v>
      </c>
      <c r="W7" s="67" t="s">
        <v>73</v>
      </c>
      <c r="X7" s="67" t="s">
        <v>763</v>
      </c>
      <c r="Y7" s="19" t="s">
        <v>92</v>
      </c>
      <c r="Z7" s="67" t="s">
        <v>29</v>
      </c>
      <c r="AA7" s="67" t="s">
        <v>33</v>
      </c>
      <c r="AB7" s="67" t="s">
        <v>74</v>
      </c>
      <c r="AC7" s="67" t="s">
        <v>75</v>
      </c>
      <c r="AD7" s="67" t="s">
        <v>76</v>
      </c>
      <c r="AE7" s="67" t="s">
        <v>77</v>
      </c>
      <c r="AF7" s="70" t="s">
        <v>90</v>
      </c>
      <c r="AG7" s="70" t="s">
        <v>91</v>
      </c>
      <c r="AH7" s="67" t="s">
        <v>78</v>
      </c>
      <c r="AI7" s="67" t="s">
        <v>71</v>
      </c>
    </row>
    <row r="8" spans="1:35">
      <c r="A8" s="73"/>
      <c r="B8" s="122" t="str">
        <f>MG1VPRNs!B8</f>
        <v>INVIHR11AMB1SAEU01NK</v>
      </c>
      <c r="C8" s="352" t="s">
        <v>217</v>
      </c>
      <c r="D8" s="72" t="s">
        <v>1138</v>
      </c>
      <c r="E8" s="11">
        <f>MG1VPRNs!E8</f>
        <v>1106</v>
      </c>
      <c r="F8" s="156" t="s">
        <v>996</v>
      </c>
      <c r="G8" s="156" t="s">
        <v>1012</v>
      </c>
      <c r="H8" s="156" t="s">
        <v>210</v>
      </c>
      <c r="I8" s="159" t="s">
        <v>1016</v>
      </c>
      <c r="J8" s="159" t="s">
        <v>623</v>
      </c>
      <c r="K8" s="129" t="s">
        <v>36</v>
      </c>
      <c r="L8" s="228" t="s">
        <v>36</v>
      </c>
      <c r="M8" s="132">
        <v>1600</v>
      </c>
      <c r="N8" s="72" t="s">
        <v>64</v>
      </c>
      <c r="O8" s="74"/>
      <c r="P8" s="52" t="str">
        <f>""&amp;F8&amp;"-To-LEAF1"</f>
        <v>UP-CORE-MG19-PORT-1-To-LEAF1</v>
      </c>
      <c r="Q8" s="162">
        <v>109</v>
      </c>
      <c r="R8" s="156">
        <v>100</v>
      </c>
      <c r="S8" s="156">
        <v>100</v>
      </c>
      <c r="T8" s="156">
        <v>3</v>
      </c>
      <c r="U8" s="156" t="s">
        <v>370</v>
      </c>
      <c r="V8" s="52" t="s">
        <v>764</v>
      </c>
      <c r="W8" s="76" t="str">
        <f>LEFT(H8,FIND("/",H8)-1)</f>
        <v>192.168.1.222</v>
      </c>
      <c r="X8" s="76" t="s">
        <v>765</v>
      </c>
      <c r="Y8" s="18" t="str">
        <f>LEFT(J8,FIND("/",J8)-1)</f>
        <v>2402:3a80:1fff:19::1</v>
      </c>
      <c r="Z8" s="77">
        <v>65010</v>
      </c>
      <c r="AA8" s="73" t="str">
        <f>"prefix_vprn"&amp;Q8&amp;""</f>
        <v>prefix_vprn109</v>
      </c>
      <c r="AB8" s="74" t="str">
        <f>"vprn"&amp;Q8&amp;"_export"</f>
        <v>vprn109_export</v>
      </c>
      <c r="AC8" s="74"/>
      <c r="AD8" s="74" t="str">
        <f>LEFT(G12,FIND("/",G12)-1)</f>
        <v>192.168.3.33</v>
      </c>
      <c r="AE8" s="74" t="str">
        <f>LEFT(G13,FIND("/",G13)-1)</f>
        <v>192.168.3.35</v>
      </c>
      <c r="AF8" s="74" t="str">
        <f>LEFT(I12,FIND("/",I12)-1)</f>
        <v>2402:3a80:1fff:9::71</v>
      </c>
      <c r="AG8" s="74" t="str">
        <f>LEFT(I13,FIND("/",I13)-1)</f>
        <v>2402:3a80:1fff:9::73</v>
      </c>
      <c r="AH8" s="161">
        <v>100</v>
      </c>
      <c r="AI8" s="73" t="str">
        <f>"vprn"&amp;AH8&amp;"_import"</f>
        <v>vprn100_import</v>
      </c>
    </row>
    <row r="9" spans="1:35">
      <c r="A9" s="56"/>
      <c r="B9" s="56" t="str">
        <f>B8</f>
        <v>INVIHR11AMB1SAEU01NK</v>
      </c>
      <c r="C9" s="352"/>
      <c r="D9" s="72" t="s">
        <v>1139</v>
      </c>
      <c r="E9" s="11">
        <f>MG1VPRNs!E9</f>
        <v>1116</v>
      </c>
      <c r="F9" s="156" t="s">
        <v>997</v>
      </c>
      <c r="G9" s="156" t="s">
        <v>1013</v>
      </c>
      <c r="H9" s="156" t="s">
        <v>212</v>
      </c>
      <c r="I9" s="159" t="s">
        <v>1017</v>
      </c>
      <c r="J9" s="159" t="s">
        <v>625</v>
      </c>
      <c r="K9" s="129" t="s">
        <v>36</v>
      </c>
      <c r="L9" s="228" t="s">
        <v>36</v>
      </c>
      <c r="M9" s="132">
        <v>1600</v>
      </c>
      <c r="N9" s="72" t="str">
        <f>N8</f>
        <v>Physical1</v>
      </c>
      <c r="O9" s="52"/>
      <c r="P9" s="52" t="str">
        <f>""&amp;F9&amp;"-To-LEAF2"</f>
        <v>UP-CORE-MG19-PORT-2-To-LEAF2</v>
      </c>
      <c r="Q9" s="12" t="s">
        <v>36</v>
      </c>
      <c r="R9" s="52">
        <f t="shared" ref="R9:T11" si="0">R8</f>
        <v>100</v>
      </c>
      <c r="S9" s="52">
        <f t="shared" si="0"/>
        <v>100</v>
      </c>
      <c r="T9" s="52">
        <f t="shared" si="0"/>
        <v>3</v>
      </c>
      <c r="U9" s="52" t="str">
        <f>U8</f>
        <v>Static</v>
      </c>
      <c r="V9" s="52" t="str">
        <f>V8</f>
        <v>0.0.0.0/0</v>
      </c>
      <c r="W9" s="268" t="str">
        <f>LEFT(H9,FIND("/",H9)-1)</f>
        <v>192.168.2.222</v>
      </c>
      <c r="X9" s="76" t="str">
        <f>X8</f>
        <v>::/0</v>
      </c>
      <c r="Y9" s="18" t="str">
        <f>LEFT(J9,FIND("/",J9)-1)</f>
        <v>2402:3a80:1fff:1a::1</v>
      </c>
      <c r="Z9" s="56"/>
      <c r="AA9" s="254"/>
      <c r="AB9" s="52"/>
      <c r="AC9" s="52"/>
      <c r="AD9" s="56"/>
      <c r="AE9" s="56"/>
      <c r="AF9" s="56"/>
      <c r="AG9" s="56"/>
      <c r="AH9" s="56"/>
      <c r="AI9" s="56"/>
    </row>
    <row r="10" spans="1:35">
      <c r="A10" s="56"/>
      <c r="B10" s="56" t="str">
        <f t="shared" ref="B10:B14" si="1">B9</f>
        <v>INVIHR11AMB1SAEU01NK</v>
      </c>
      <c r="C10" s="352"/>
      <c r="D10" s="72" t="s">
        <v>1140</v>
      </c>
      <c r="E10" s="11">
        <f>MG1VPRNs!E10</f>
        <v>1126</v>
      </c>
      <c r="F10" s="156" t="s">
        <v>998</v>
      </c>
      <c r="G10" s="156" t="s">
        <v>1014</v>
      </c>
      <c r="H10" s="156" t="s">
        <v>214</v>
      </c>
      <c r="I10" s="159" t="s">
        <v>1018</v>
      </c>
      <c r="J10" s="159" t="s">
        <v>627</v>
      </c>
      <c r="K10" s="129" t="s">
        <v>36</v>
      </c>
      <c r="L10" s="228" t="s">
        <v>36</v>
      </c>
      <c r="M10" s="132">
        <v>1600</v>
      </c>
      <c r="N10" s="72" t="str">
        <f>N8</f>
        <v>Physical1</v>
      </c>
      <c r="O10" s="52"/>
      <c r="P10" s="52" t="str">
        <f>""&amp;F10&amp;"-To-LEAF1"</f>
        <v>UP-CORE-MG20-PORT-1-To-LEAF1</v>
      </c>
      <c r="Q10" s="12" t="s">
        <v>36</v>
      </c>
      <c r="R10" s="52">
        <f t="shared" si="0"/>
        <v>100</v>
      </c>
      <c r="S10" s="52">
        <f t="shared" si="0"/>
        <v>100</v>
      </c>
      <c r="T10" s="52">
        <f t="shared" si="0"/>
        <v>3</v>
      </c>
      <c r="U10" s="52" t="str">
        <f>U9</f>
        <v>Static</v>
      </c>
      <c r="V10" s="52" t="str">
        <f t="shared" ref="V10:V11" si="2">V9</f>
        <v>0.0.0.0/0</v>
      </c>
      <c r="W10" s="268" t="str">
        <f>LEFT(H10,FIND("/",H10)-1)</f>
        <v>192.168.1.254</v>
      </c>
      <c r="X10" s="76" t="str">
        <f t="shared" ref="X10:X11" si="3">X9</f>
        <v>::/0</v>
      </c>
      <c r="Y10" s="18" t="str">
        <f>LEFT(J10,FIND("/",J10)-1)</f>
        <v>2402:3a80:1fff:1b::1</v>
      </c>
      <c r="Z10" s="56"/>
      <c r="AA10" s="254"/>
      <c r="AB10" s="52"/>
      <c r="AC10" s="52"/>
      <c r="AD10" s="56"/>
      <c r="AE10" s="56"/>
      <c r="AF10" s="56"/>
      <c r="AG10" s="56"/>
      <c r="AH10" s="56"/>
      <c r="AI10" s="56"/>
    </row>
    <row r="11" spans="1:35" ht="15" thickBot="1">
      <c r="A11" s="56"/>
      <c r="B11" s="56" t="str">
        <f t="shared" si="1"/>
        <v>INVIHR11AMB1SAEU01NK</v>
      </c>
      <c r="C11" s="352"/>
      <c r="D11" s="72" t="s">
        <v>1141</v>
      </c>
      <c r="E11" s="11">
        <f>MG1VPRNs!E11</f>
        <v>1136</v>
      </c>
      <c r="F11" s="156" t="s">
        <v>999</v>
      </c>
      <c r="G11" s="156" t="s">
        <v>1015</v>
      </c>
      <c r="H11" s="156" t="s">
        <v>216</v>
      </c>
      <c r="I11" s="159" t="s">
        <v>1019</v>
      </c>
      <c r="J11" s="159" t="s">
        <v>629</v>
      </c>
      <c r="K11" s="129" t="s">
        <v>36</v>
      </c>
      <c r="L11" s="228" t="s">
        <v>36</v>
      </c>
      <c r="M11" s="132">
        <v>1600</v>
      </c>
      <c r="N11" s="72" t="str">
        <f>N8</f>
        <v>Physical1</v>
      </c>
      <c r="O11" s="52"/>
      <c r="P11" s="52" t="str">
        <f>""&amp;F11&amp;"-To-LEAF2"</f>
        <v>UP-CORE-MG20-PORT-2-To-LEAF2</v>
      </c>
      <c r="Q11" s="12" t="s">
        <v>36</v>
      </c>
      <c r="R11" s="52">
        <f t="shared" si="0"/>
        <v>100</v>
      </c>
      <c r="S11" s="52">
        <f t="shared" si="0"/>
        <v>100</v>
      </c>
      <c r="T11" s="52">
        <f t="shared" si="0"/>
        <v>3</v>
      </c>
      <c r="U11" s="52" t="str">
        <f>U10</f>
        <v>Static</v>
      </c>
      <c r="V11" s="52" t="str">
        <f t="shared" si="2"/>
        <v>0.0.0.0/0</v>
      </c>
      <c r="W11" s="268" t="str">
        <f>LEFT(H11,FIND("/",H11)-1)</f>
        <v>192.168.2.254</v>
      </c>
      <c r="X11" s="76" t="str">
        <f t="shared" si="3"/>
        <v>::/0</v>
      </c>
      <c r="Y11" s="18" t="str">
        <f>LEFT(J11,FIND("/",J11)-1)</f>
        <v>2402:3a80:1fff:1c::1</v>
      </c>
      <c r="Z11" s="56"/>
      <c r="AA11" s="254"/>
      <c r="AB11" s="52"/>
      <c r="AC11" s="87"/>
      <c r="AD11" s="56"/>
      <c r="AE11" s="56"/>
      <c r="AF11" s="56"/>
      <c r="AG11" s="56"/>
      <c r="AH11" s="56"/>
      <c r="AI11" s="56"/>
    </row>
    <row r="12" spans="1:35" ht="15" thickBot="1">
      <c r="A12" s="56"/>
      <c r="B12" s="56" t="str">
        <f t="shared" si="1"/>
        <v>INVIHR11AMB1SAEU01NK</v>
      </c>
      <c r="C12" s="352"/>
      <c r="D12" s="27"/>
      <c r="E12" s="79"/>
      <c r="F12" s="156" t="s">
        <v>1050</v>
      </c>
      <c r="G12" s="131" t="s">
        <v>1051</v>
      </c>
      <c r="H12" s="79"/>
      <c r="I12" s="159" t="s">
        <v>1054</v>
      </c>
      <c r="J12" s="56" t="s">
        <v>36</v>
      </c>
      <c r="K12" s="167"/>
      <c r="L12" s="228" t="s">
        <v>36</v>
      </c>
      <c r="M12" s="242"/>
      <c r="N12" s="72" t="s">
        <v>68</v>
      </c>
      <c r="O12" s="157" t="s">
        <v>83</v>
      </c>
      <c r="P12" s="52" t="str">
        <f>F12</f>
        <v>UP-CORE-MG-GRP-9-lo1</v>
      </c>
      <c r="Q12" s="12" t="s">
        <v>36</v>
      </c>
      <c r="R12" s="254"/>
      <c r="S12" s="254"/>
      <c r="T12" s="254"/>
      <c r="U12" s="56"/>
      <c r="V12" s="56"/>
      <c r="W12" s="56"/>
      <c r="X12" s="56"/>
      <c r="Y12" s="253" t="s">
        <v>36</v>
      </c>
      <c r="Z12" s="56"/>
      <c r="AA12" s="56"/>
      <c r="AB12" s="118"/>
      <c r="AC12" s="166" t="s">
        <v>83</v>
      </c>
      <c r="AD12" s="119"/>
      <c r="AE12" s="56"/>
      <c r="AF12" s="56"/>
      <c r="AG12" s="56"/>
      <c r="AH12" s="56"/>
      <c r="AI12" s="56"/>
    </row>
    <row r="13" spans="1:35">
      <c r="A13" s="56"/>
      <c r="B13" s="56" t="str">
        <f t="shared" si="1"/>
        <v>INVIHR11AMB1SAEU01NK</v>
      </c>
      <c r="C13" s="352"/>
      <c r="D13" s="27"/>
      <c r="E13" s="79"/>
      <c r="F13" s="156" t="s">
        <v>1052</v>
      </c>
      <c r="G13" s="131" t="s">
        <v>1053</v>
      </c>
      <c r="H13" s="79"/>
      <c r="I13" s="159" t="s">
        <v>1055</v>
      </c>
      <c r="J13" s="56" t="s">
        <v>36</v>
      </c>
      <c r="K13" s="167"/>
      <c r="L13" s="228" t="s">
        <v>36</v>
      </c>
      <c r="M13" s="242"/>
      <c r="N13" s="72" t="str">
        <f>N12</f>
        <v>Loopback1</v>
      </c>
      <c r="O13" s="157" t="s">
        <v>83</v>
      </c>
      <c r="P13" s="52" t="str">
        <f>F13</f>
        <v>UP-CORE-MG-GRP-9-lo2</v>
      </c>
      <c r="Q13" s="12" t="s">
        <v>36</v>
      </c>
      <c r="R13" s="254"/>
      <c r="S13" s="254"/>
      <c r="T13" s="254"/>
      <c r="U13" s="56"/>
      <c r="V13" s="56"/>
      <c r="W13" s="56"/>
      <c r="X13" s="56"/>
      <c r="Y13" s="253" t="s">
        <v>36</v>
      </c>
      <c r="Z13" s="254"/>
      <c r="AA13" s="56"/>
      <c r="AB13" s="52"/>
      <c r="AC13" s="161" t="s">
        <v>83</v>
      </c>
      <c r="AD13" s="56"/>
      <c r="AE13" s="56"/>
      <c r="AF13" s="56"/>
      <c r="AG13" s="56"/>
      <c r="AH13" s="56"/>
      <c r="AI13" s="56"/>
    </row>
    <row r="14" spans="1:35">
      <c r="A14" s="56"/>
      <c r="B14" s="56" t="str">
        <f t="shared" si="1"/>
        <v>INVIHR11AMB1SAEU01NK</v>
      </c>
      <c r="C14" s="352"/>
      <c r="D14" s="27"/>
      <c r="E14" s="81"/>
      <c r="F14" s="156" t="s">
        <v>1056</v>
      </c>
      <c r="G14" s="212">
        <f>'[2]External Interfaces'!$L$18</f>
        <v>0</v>
      </c>
      <c r="H14" s="81"/>
      <c r="I14" s="75">
        <f>'[2]External Interfaces'!$M$18</f>
        <v>0</v>
      </c>
      <c r="J14" s="56" t="s">
        <v>36</v>
      </c>
      <c r="K14" s="156"/>
      <c r="L14" s="227" t="s">
        <v>1362</v>
      </c>
      <c r="M14" s="227"/>
      <c r="N14" s="72" t="str">
        <f>N12</f>
        <v>Loopback1</v>
      </c>
      <c r="O14" s="157" t="s">
        <v>83</v>
      </c>
      <c r="P14" s="52" t="str">
        <f>F14</f>
        <v>UP-CORE-MG-GRP-9-S1u-SGW_S5-lo</v>
      </c>
      <c r="Q14" s="12" t="s">
        <v>36</v>
      </c>
      <c r="R14" s="254"/>
      <c r="S14" s="254"/>
      <c r="T14" s="254"/>
      <c r="U14" s="52"/>
      <c r="V14" s="52"/>
      <c r="W14" s="56"/>
      <c r="X14" s="56"/>
      <c r="Y14" s="253" t="s">
        <v>36</v>
      </c>
      <c r="Z14" s="254"/>
      <c r="AA14" s="56" t="str">
        <f>AA8</f>
        <v>prefix_vprn109</v>
      </c>
      <c r="AB14" s="56" t="str">
        <f>AB8</f>
        <v>vprn109_export</v>
      </c>
      <c r="AC14" s="156" t="s">
        <v>84</v>
      </c>
      <c r="AD14" s="56"/>
      <c r="AE14" s="56"/>
      <c r="AF14" s="56"/>
      <c r="AG14" s="56"/>
      <c r="AH14" s="56"/>
      <c r="AI14" s="56" t="str">
        <f>AI8</f>
        <v>vprn100_import</v>
      </c>
    </row>
    <row r="15" spans="1:35" ht="15" thickBot="1">
      <c r="A15" s="84"/>
      <c r="B15" s="82" t="str">
        <f>B13</f>
        <v>INVIHR11AMB1SAEU01NK</v>
      </c>
      <c r="C15" s="352"/>
      <c r="D15" s="29"/>
      <c r="E15" s="81"/>
      <c r="F15" s="157" t="s">
        <v>1057</v>
      </c>
      <c r="G15" s="83">
        <f>'[2]External Interfaces'!$L$27</f>
        <v>0</v>
      </c>
      <c r="H15" s="81"/>
      <c r="I15" s="207">
        <f>'[2]External Interfaces'!$M$27</f>
        <v>0</v>
      </c>
      <c r="J15" s="84" t="s">
        <v>36</v>
      </c>
      <c r="K15" s="157"/>
      <c r="L15" s="227" t="s">
        <v>1363</v>
      </c>
      <c r="M15" s="240"/>
      <c r="N15" s="85" t="str">
        <f>N13</f>
        <v>Loopback1</v>
      </c>
      <c r="O15" s="157" t="s">
        <v>83</v>
      </c>
      <c r="P15" s="52" t="str">
        <f>F15</f>
        <v>UP-CORE-MG-GRP-9-PGW_S5-S8-lo</v>
      </c>
      <c r="Q15" s="14" t="s">
        <v>36</v>
      </c>
      <c r="R15" s="86"/>
      <c r="S15" s="86"/>
      <c r="T15" s="86"/>
      <c r="U15" s="59"/>
      <c r="V15" s="59"/>
      <c r="W15" s="84"/>
      <c r="X15" s="84"/>
      <c r="Y15" s="145" t="s">
        <v>36</v>
      </c>
      <c r="Z15" s="86"/>
      <c r="AA15" s="84" t="str">
        <f>AA8</f>
        <v>prefix_vprn109</v>
      </c>
      <c r="AB15" s="87" t="str">
        <f>AB8</f>
        <v>vprn109_export</v>
      </c>
      <c r="AC15" s="157" t="s">
        <v>84</v>
      </c>
      <c r="AD15" s="84"/>
      <c r="AE15" s="84"/>
      <c r="AF15" s="84"/>
      <c r="AG15" s="84"/>
      <c r="AH15" s="84"/>
      <c r="AI15" s="84" t="str">
        <f>AI8</f>
        <v>vprn100_import</v>
      </c>
    </row>
    <row r="16" spans="1:35" ht="15" thickBot="1">
      <c r="A16" s="66"/>
      <c r="B16" s="71"/>
      <c r="C16" s="91"/>
      <c r="D16" s="30"/>
      <c r="E16" s="71"/>
      <c r="F16" s="71"/>
      <c r="G16" s="71"/>
      <c r="H16" s="71"/>
      <c r="I16" s="71"/>
      <c r="J16" s="71"/>
      <c r="K16" s="17"/>
      <c r="L16" s="229"/>
      <c r="M16" s="241"/>
      <c r="N16" s="71"/>
      <c r="O16" s="71"/>
      <c r="P16" s="91"/>
      <c r="Q16" s="71"/>
      <c r="R16" s="71"/>
      <c r="S16" s="71"/>
      <c r="T16" s="71"/>
      <c r="U16" s="71"/>
      <c r="V16" s="71"/>
      <c r="W16" s="71"/>
      <c r="X16" s="71"/>
      <c r="Y16" s="17"/>
      <c r="Z16" s="71"/>
      <c r="AA16" s="71"/>
      <c r="AB16" s="71"/>
      <c r="AC16" s="71"/>
      <c r="AD16" s="71"/>
      <c r="AE16" s="71"/>
      <c r="AF16" s="71"/>
      <c r="AG16" s="71"/>
      <c r="AH16" s="71"/>
      <c r="AI16" s="71"/>
    </row>
    <row r="17" spans="1:35">
      <c r="A17" s="73"/>
      <c r="B17" s="122" t="str">
        <f>B8</f>
        <v>INVIHR11AMB1SAEU01NK</v>
      </c>
      <c r="C17" s="377" t="s">
        <v>226</v>
      </c>
      <c r="D17" s="72" t="s">
        <v>1138</v>
      </c>
      <c r="E17" s="28">
        <f>MG1VPRNs!E17</f>
        <v>1107</v>
      </c>
      <c r="F17" s="161" t="s">
        <v>1156</v>
      </c>
      <c r="G17" s="163" t="s">
        <v>1076</v>
      </c>
      <c r="H17" s="163" t="s">
        <v>219</v>
      </c>
      <c r="I17" s="76" t="s">
        <v>36</v>
      </c>
      <c r="J17" s="76" t="s">
        <v>36</v>
      </c>
      <c r="K17" s="129" t="s">
        <v>36</v>
      </c>
      <c r="L17" s="228" t="s">
        <v>36</v>
      </c>
      <c r="M17" s="132" t="s">
        <v>36</v>
      </c>
      <c r="N17" s="88" t="s">
        <v>65</v>
      </c>
      <c r="O17" s="74"/>
      <c r="P17" s="74" t="str">
        <f>""&amp;F17&amp;"-To-LEAF1"</f>
        <v>UP-INTERNET-MG19-PORT-1-To-LEAF1</v>
      </c>
      <c r="Q17" s="162">
        <v>209</v>
      </c>
      <c r="R17" s="161">
        <f>R8</f>
        <v>100</v>
      </c>
      <c r="S17" s="161">
        <f t="shared" ref="S17:T17" si="4">S8</f>
        <v>100</v>
      </c>
      <c r="T17" s="161">
        <f t="shared" si="4"/>
        <v>3</v>
      </c>
      <c r="U17" s="161" t="s">
        <v>370</v>
      </c>
      <c r="V17" s="52" t="s">
        <v>764</v>
      </c>
      <c r="W17" s="76" t="str">
        <f>LEFT(H17,FIND("/",H17)-1)</f>
        <v>192.168.1.62</v>
      </c>
      <c r="X17" s="76" t="s">
        <v>765</v>
      </c>
      <c r="Y17" s="253" t="s">
        <v>36</v>
      </c>
      <c r="Z17" s="77">
        <f t="shared" ref="Z17" si="5">Z8</f>
        <v>65010</v>
      </c>
      <c r="AA17" s="73" t="str">
        <f>"prefix_vprn"&amp;Q17&amp;""</f>
        <v>prefix_vprn209</v>
      </c>
      <c r="AB17" s="74" t="str">
        <f>"vprn"&amp;Q17&amp;"_export"</f>
        <v>vprn209_export</v>
      </c>
      <c r="AC17" s="74"/>
      <c r="AD17" s="74" t="str">
        <f>LEFT(G21,FIND("/",G21)-1)</f>
        <v>192.168.3.71</v>
      </c>
      <c r="AE17" s="74" t="str">
        <f>LEFT(G22,FIND("/",G22)-1)</f>
        <v>192.168.3.73</v>
      </c>
      <c r="AF17" s="73" t="s">
        <v>36</v>
      </c>
      <c r="AG17" s="73" t="s">
        <v>36</v>
      </c>
      <c r="AH17" s="161">
        <v>200</v>
      </c>
      <c r="AI17" s="73" t="str">
        <f>"vprn"&amp;AH17&amp;"_import"</f>
        <v>vprn200_import</v>
      </c>
    </row>
    <row r="18" spans="1:35">
      <c r="A18" s="56"/>
      <c r="B18" s="56" t="str">
        <f>B17</f>
        <v>INVIHR11AMB1SAEU01NK</v>
      </c>
      <c r="C18" s="378"/>
      <c r="D18" s="72" t="s">
        <v>1139</v>
      </c>
      <c r="E18" s="11">
        <f>MG1VPRNs!E18</f>
        <v>1117</v>
      </c>
      <c r="F18" s="156" t="s">
        <v>1157</v>
      </c>
      <c r="G18" s="163" t="s">
        <v>1077</v>
      </c>
      <c r="H18" s="163" t="s">
        <v>221</v>
      </c>
      <c r="I18" s="76" t="s">
        <v>36</v>
      </c>
      <c r="J18" s="76" t="s">
        <v>36</v>
      </c>
      <c r="K18" s="129" t="s">
        <v>36</v>
      </c>
      <c r="L18" s="228" t="s">
        <v>36</v>
      </c>
      <c r="M18" s="132" t="s">
        <v>36</v>
      </c>
      <c r="N18" s="72" t="str">
        <f>N17</f>
        <v>Physical2</v>
      </c>
      <c r="O18" s="52"/>
      <c r="P18" s="52" t="str">
        <f>""&amp;F18&amp;"-To-LEAF2"</f>
        <v>UP-INTERNET-MG19-PORT-2-To-LEAF2</v>
      </c>
      <c r="Q18" s="12" t="s">
        <v>36</v>
      </c>
      <c r="R18" s="52">
        <f t="shared" ref="R18:T20" si="6">R17</f>
        <v>100</v>
      </c>
      <c r="S18" s="52">
        <f t="shared" si="6"/>
        <v>100</v>
      </c>
      <c r="T18" s="52">
        <f t="shared" si="6"/>
        <v>3</v>
      </c>
      <c r="U18" s="52" t="str">
        <f>U17</f>
        <v>Static</v>
      </c>
      <c r="V18" s="52" t="str">
        <f>V17</f>
        <v>0.0.0.0/0</v>
      </c>
      <c r="W18" s="254" t="str">
        <f>LEFT(H18,FIND("/",H18)-1)</f>
        <v>192.168.2.62</v>
      </c>
      <c r="X18" s="76" t="str">
        <f>X17</f>
        <v>::/0</v>
      </c>
      <c r="Y18" s="253" t="s">
        <v>36</v>
      </c>
      <c r="Z18" s="56"/>
      <c r="AA18" s="254"/>
      <c r="AB18" s="52"/>
      <c r="AC18" s="52"/>
      <c r="AD18" s="56"/>
      <c r="AE18" s="56"/>
      <c r="AF18" s="56"/>
      <c r="AG18" s="56"/>
      <c r="AH18" s="56"/>
      <c r="AI18" s="56"/>
    </row>
    <row r="19" spans="1:35">
      <c r="A19" s="56"/>
      <c r="B19" s="56" t="str">
        <f t="shared" ref="B19:B22" si="7">B18</f>
        <v>INVIHR11AMB1SAEU01NK</v>
      </c>
      <c r="C19" s="378"/>
      <c r="D19" s="72" t="s">
        <v>1140</v>
      </c>
      <c r="E19" s="11">
        <f>MG1VPRNs!E19</f>
        <v>1127</v>
      </c>
      <c r="F19" s="156" t="s">
        <v>1164</v>
      </c>
      <c r="G19" s="163" t="s">
        <v>1078</v>
      </c>
      <c r="H19" s="163" t="s">
        <v>223</v>
      </c>
      <c r="I19" s="76" t="s">
        <v>36</v>
      </c>
      <c r="J19" s="76" t="s">
        <v>36</v>
      </c>
      <c r="K19" s="129" t="s">
        <v>36</v>
      </c>
      <c r="L19" s="228" t="s">
        <v>36</v>
      </c>
      <c r="M19" s="132" t="s">
        <v>36</v>
      </c>
      <c r="N19" s="72" t="str">
        <f>N17</f>
        <v>Physical2</v>
      </c>
      <c r="O19" s="52"/>
      <c r="P19" s="52" t="str">
        <f>""&amp;F19&amp;"-To-LEAF1"</f>
        <v>UP-INTERNET-MG20-PORT-1-To-LEAF1</v>
      </c>
      <c r="Q19" s="12" t="s">
        <v>36</v>
      </c>
      <c r="R19" s="52">
        <f t="shared" si="6"/>
        <v>100</v>
      </c>
      <c r="S19" s="52">
        <f t="shared" si="6"/>
        <v>100</v>
      </c>
      <c r="T19" s="52">
        <f t="shared" si="6"/>
        <v>3</v>
      </c>
      <c r="U19" s="52" t="str">
        <f>U18</f>
        <v>Static</v>
      </c>
      <c r="V19" s="52" t="str">
        <f t="shared" ref="V19:V20" si="8">V18</f>
        <v>0.0.0.0/0</v>
      </c>
      <c r="W19" s="254" t="str">
        <f>LEFT(H19,FIND("/",H19)-1)</f>
        <v>192.168.1.158</v>
      </c>
      <c r="X19" s="76" t="str">
        <f t="shared" ref="X19:X20" si="9">X18</f>
        <v>::/0</v>
      </c>
      <c r="Y19" s="253" t="s">
        <v>36</v>
      </c>
      <c r="Z19" s="56"/>
      <c r="AA19" s="254"/>
      <c r="AB19" s="52"/>
      <c r="AC19" s="52"/>
      <c r="AD19" s="56"/>
      <c r="AE19" s="56"/>
      <c r="AF19" s="56"/>
      <c r="AG19" s="56"/>
      <c r="AH19" s="56"/>
      <c r="AI19" s="56"/>
    </row>
    <row r="20" spans="1:35">
      <c r="A20" s="56"/>
      <c r="B20" s="56" t="str">
        <f t="shared" si="7"/>
        <v>INVIHR11AMB1SAEU01NK</v>
      </c>
      <c r="C20" s="378"/>
      <c r="D20" s="72" t="s">
        <v>1141</v>
      </c>
      <c r="E20" s="11">
        <f>MG1VPRNs!E20</f>
        <v>1137</v>
      </c>
      <c r="F20" s="156" t="s">
        <v>1165</v>
      </c>
      <c r="G20" s="163" t="s">
        <v>1079</v>
      </c>
      <c r="H20" s="163" t="s">
        <v>225</v>
      </c>
      <c r="I20" s="76" t="s">
        <v>36</v>
      </c>
      <c r="J20" s="76" t="s">
        <v>36</v>
      </c>
      <c r="K20" s="129" t="s">
        <v>36</v>
      </c>
      <c r="L20" s="228" t="s">
        <v>36</v>
      </c>
      <c r="M20" s="132" t="s">
        <v>36</v>
      </c>
      <c r="N20" s="72" t="str">
        <f>N17</f>
        <v>Physical2</v>
      </c>
      <c r="O20" s="52"/>
      <c r="P20" s="52" t="str">
        <f>""&amp;F20&amp;"-To-LEAF2"</f>
        <v>UP-INTERNET-MG20-PORT-2-To-LEAF2</v>
      </c>
      <c r="Q20" s="12" t="s">
        <v>36</v>
      </c>
      <c r="R20" s="52">
        <f t="shared" si="6"/>
        <v>100</v>
      </c>
      <c r="S20" s="52">
        <f t="shared" si="6"/>
        <v>100</v>
      </c>
      <c r="T20" s="52">
        <f t="shared" si="6"/>
        <v>3</v>
      </c>
      <c r="U20" s="52" t="str">
        <f>U19</f>
        <v>Static</v>
      </c>
      <c r="V20" s="52" t="str">
        <f t="shared" si="8"/>
        <v>0.0.0.0/0</v>
      </c>
      <c r="W20" s="254" t="str">
        <f>LEFT(H20,FIND("/",H20)-1)</f>
        <v>192.168.2.158</v>
      </c>
      <c r="X20" s="76" t="str">
        <f t="shared" si="9"/>
        <v>::/0</v>
      </c>
      <c r="Y20" s="145" t="s">
        <v>36</v>
      </c>
      <c r="Z20" s="56"/>
      <c r="AA20" s="254"/>
      <c r="AB20" s="52"/>
      <c r="AC20" s="52"/>
      <c r="AD20" s="56"/>
      <c r="AE20" s="56"/>
      <c r="AF20" s="56"/>
      <c r="AG20" s="56"/>
      <c r="AH20" s="56"/>
      <c r="AI20" s="56"/>
    </row>
    <row r="21" spans="1:35">
      <c r="A21" s="56"/>
      <c r="B21" s="56" t="str">
        <f t="shared" si="7"/>
        <v>INVIHR11AMB1SAEU01NK</v>
      </c>
      <c r="C21" s="378"/>
      <c r="D21" s="27"/>
      <c r="E21" s="79"/>
      <c r="F21" s="156" t="s">
        <v>1172</v>
      </c>
      <c r="G21" s="131" t="s">
        <v>1150</v>
      </c>
      <c r="H21" s="79"/>
      <c r="I21" s="76" t="s">
        <v>36</v>
      </c>
      <c r="J21" s="211" t="s">
        <v>36</v>
      </c>
      <c r="K21" s="157"/>
      <c r="L21" s="228" t="s">
        <v>36</v>
      </c>
      <c r="M21" s="228"/>
      <c r="N21" s="72" t="s">
        <v>69</v>
      </c>
      <c r="O21" s="157" t="s">
        <v>83</v>
      </c>
      <c r="P21" s="52" t="str">
        <f>F21</f>
        <v>UP-INTERNET-MG-GRP-9-lo1</v>
      </c>
      <c r="Q21" s="12" t="s">
        <v>36</v>
      </c>
      <c r="R21" s="254"/>
      <c r="S21" s="254"/>
      <c r="T21" s="254"/>
      <c r="U21" s="56"/>
      <c r="V21" s="56"/>
      <c r="W21" s="56"/>
      <c r="X21" s="56"/>
      <c r="Y21" s="9"/>
      <c r="Z21" s="56"/>
      <c r="AA21" s="56"/>
      <c r="AB21" s="52"/>
      <c r="AC21" s="156" t="s">
        <v>83</v>
      </c>
      <c r="AD21" s="56"/>
      <c r="AE21" s="56"/>
      <c r="AF21" s="56"/>
      <c r="AG21" s="56"/>
      <c r="AH21" s="56"/>
      <c r="AI21" s="56"/>
    </row>
    <row r="22" spans="1:35" ht="15" thickBot="1">
      <c r="A22" s="56"/>
      <c r="B22" s="56" t="str">
        <f t="shared" si="7"/>
        <v>INVIHR11AMB1SAEU01NK</v>
      </c>
      <c r="C22" s="378"/>
      <c r="D22" s="27"/>
      <c r="E22" s="79"/>
      <c r="F22" s="156" t="s">
        <v>1173</v>
      </c>
      <c r="G22" s="131" t="s">
        <v>1151</v>
      </c>
      <c r="H22" s="79"/>
      <c r="I22" s="76" t="s">
        <v>36</v>
      </c>
      <c r="J22" s="211" t="s">
        <v>36</v>
      </c>
      <c r="K22" s="157"/>
      <c r="L22" s="228" t="s">
        <v>36</v>
      </c>
      <c r="M22" s="243"/>
      <c r="N22" s="72" t="str">
        <f>N21</f>
        <v>Loopback2</v>
      </c>
      <c r="O22" s="157" t="s">
        <v>83</v>
      </c>
      <c r="P22" s="52" t="str">
        <f>F22</f>
        <v>UP-INTERNET-MG-GRP-9-lo2</v>
      </c>
      <c r="Q22" s="12" t="s">
        <v>36</v>
      </c>
      <c r="R22" s="254"/>
      <c r="S22" s="254"/>
      <c r="T22" s="254"/>
      <c r="U22" s="56"/>
      <c r="V22" s="56"/>
      <c r="W22" s="56"/>
      <c r="X22" s="56"/>
      <c r="Y22" s="9"/>
      <c r="Z22" s="254"/>
      <c r="AA22" s="56"/>
      <c r="AB22" s="52"/>
      <c r="AC22" s="156" t="s">
        <v>83</v>
      </c>
      <c r="AD22" s="56"/>
      <c r="AE22" s="56"/>
      <c r="AF22" s="56"/>
      <c r="AG22" s="56"/>
      <c r="AH22" s="56"/>
      <c r="AI22" s="56"/>
    </row>
    <row r="23" spans="1:35" ht="15" thickBot="1">
      <c r="A23" s="66"/>
      <c r="B23" s="108"/>
      <c r="C23" s="91"/>
      <c r="D23" s="30"/>
      <c r="E23" s="71"/>
      <c r="F23" s="71"/>
      <c r="G23" s="71"/>
      <c r="H23" s="71"/>
      <c r="I23" s="71"/>
      <c r="J23" s="71"/>
      <c r="K23" s="17"/>
      <c r="L23" s="71"/>
      <c r="M23" s="245"/>
      <c r="N23" s="71"/>
      <c r="O23" s="71"/>
      <c r="P23" s="9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</row>
    <row r="24" spans="1:35">
      <c r="A24" s="73"/>
      <c r="B24" s="122" t="str">
        <f>B8</f>
        <v>INVIHR11AMB1SAEU01NK</v>
      </c>
      <c r="C24" s="377" t="s">
        <v>227</v>
      </c>
      <c r="D24" s="72" t="s">
        <v>1138</v>
      </c>
      <c r="E24" s="28">
        <f>MG1VPRNs!E24</f>
        <v>1108</v>
      </c>
      <c r="F24" s="161" t="s">
        <v>1158</v>
      </c>
      <c r="G24" s="163" t="s">
        <v>1118</v>
      </c>
      <c r="H24" s="163" t="s">
        <v>229</v>
      </c>
      <c r="I24" s="169" t="s">
        <v>1122</v>
      </c>
      <c r="J24" s="170" t="s">
        <v>637</v>
      </c>
      <c r="K24" s="129" t="s">
        <v>36</v>
      </c>
      <c r="L24" s="228" t="s">
        <v>36</v>
      </c>
      <c r="M24" s="132" t="s">
        <v>36</v>
      </c>
      <c r="N24" s="88" t="s">
        <v>66</v>
      </c>
      <c r="O24" s="74"/>
      <c r="P24" s="52" t="str">
        <f>""&amp;F24&amp;"-To-LEAF2"</f>
        <v>UP-IMS-MG19-PORT-1-To-LEAF2</v>
      </c>
      <c r="Q24" s="162">
        <v>309</v>
      </c>
      <c r="R24" s="161">
        <f>R8</f>
        <v>100</v>
      </c>
      <c r="S24" s="161">
        <f>S8</f>
        <v>100</v>
      </c>
      <c r="T24" s="161">
        <f>T8</f>
        <v>3</v>
      </c>
      <c r="U24" s="161" t="s">
        <v>370</v>
      </c>
      <c r="V24" s="52" t="s">
        <v>764</v>
      </c>
      <c r="W24" s="254" t="str">
        <f>LEFT(H24,FIND("/",H24)-1)</f>
        <v>192.168.1.94</v>
      </c>
      <c r="X24" s="76" t="s">
        <v>765</v>
      </c>
      <c r="Y24" s="18" t="str">
        <f>LEFT(J24,FIND("/",J24)-1)</f>
        <v>2402:3a80:1fff:a::1</v>
      </c>
      <c r="Z24" s="77">
        <f>Z17</f>
        <v>65010</v>
      </c>
      <c r="AA24" s="73" t="str">
        <f>"prefix_vprn"&amp;Q24&amp;""</f>
        <v>prefix_vprn309</v>
      </c>
      <c r="AB24" s="74" t="str">
        <f>"vprn"&amp;Q24&amp;"_export"</f>
        <v>vprn309_export</v>
      </c>
      <c r="AC24" s="74"/>
      <c r="AD24" s="74" t="str">
        <f>LEFT(G28,FIND("/",G28)-1)</f>
        <v>192.168.3.107</v>
      </c>
      <c r="AE24" s="74" t="str">
        <f>LEFT(G29,FIND("/",G29)-1)</f>
        <v>192.168.3.109</v>
      </c>
      <c r="AF24" s="74" t="str">
        <f>LEFT(I28,FIND("/",I28)-1)</f>
        <v>2402:3a80:1fff:9::49</v>
      </c>
      <c r="AG24" s="74" t="str">
        <f>LEFT(I29,FIND("/",I29)-1)</f>
        <v>2402:3a80:1fff:9::4b</v>
      </c>
      <c r="AH24" s="161">
        <v>300</v>
      </c>
      <c r="AI24" s="73" t="str">
        <f>"vprn"&amp;AH24&amp;"_import"</f>
        <v>vprn300_import</v>
      </c>
    </row>
    <row r="25" spans="1:35">
      <c r="A25" s="56"/>
      <c r="B25" s="56" t="str">
        <f>B24</f>
        <v>INVIHR11AMB1SAEU01NK</v>
      </c>
      <c r="C25" s="378"/>
      <c r="D25" s="72" t="s">
        <v>1139</v>
      </c>
      <c r="E25" s="11">
        <f>MG1VPRNs!E25</f>
        <v>1118</v>
      </c>
      <c r="F25" s="156" t="s">
        <v>1159</v>
      </c>
      <c r="G25" s="163" t="s">
        <v>1119</v>
      </c>
      <c r="H25" s="163" t="s">
        <v>231</v>
      </c>
      <c r="I25" s="164" t="s">
        <v>1123</v>
      </c>
      <c r="J25" s="167" t="s">
        <v>639</v>
      </c>
      <c r="K25" s="129" t="s">
        <v>36</v>
      </c>
      <c r="L25" s="228" t="s">
        <v>36</v>
      </c>
      <c r="M25" s="132" t="s">
        <v>36</v>
      </c>
      <c r="N25" s="72" t="str">
        <f>N24</f>
        <v>Physical3</v>
      </c>
      <c r="O25" s="52"/>
      <c r="P25" s="52" t="str">
        <f>""&amp;F25&amp;"-To-LEAF2"</f>
        <v>UP-IMS-MG19-PORT-2-To-LEAF2</v>
      </c>
      <c r="Q25" s="12" t="s">
        <v>36</v>
      </c>
      <c r="R25" s="52">
        <f t="shared" ref="R25:T27" si="10">R24</f>
        <v>100</v>
      </c>
      <c r="S25" s="52">
        <f t="shared" si="10"/>
        <v>100</v>
      </c>
      <c r="T25" s="52">
        <f t="shared" si="10"/>
        <v>3</v>
      </c>
      <c r="U25" s="52" t="str">
        <f>U24</f>
        <v>Static</v>
      </c>
      <c r="V25" s="52" t="str">
        <f>V24</f>
        <v>0.0.0.0/0</v>
      </c>
      <c r="W25" s="254" t="str">
        <f>LEFT(H25,FIND("/",H25)-1)</f>
        <v>192.168.2.94</v>
      </c>
      <c r="X25" s="76" t="str">
        <f>X24</f>
        <v>::/0</v>
      </c>
      <c r="Y25" s="18" t="str">
        <f>LEFT(J25,FIND("/",J25)-1)</f>
        <v>2402:3a80:1fff:b::1</v>
      </c>
      <c r="Z25" s="56"/>
      <c r="AA25" s="254"/>
      <c r="AB25" s="52"/>
      <c r="AC25" s="52"/>
      <c r="AD25" s="56"/>
      <c r="AE25" s="56"/>
      <c r="AF25" s="56"/>
      <c r="AG25" s="56"/>
      <c r="AH25" s="56"/>
      <c r="AI25" s="56"/>
    </row>
    <row r="26" spans="1:35">
      <c r="A26" s="56"/>
      <c r="B26" s="56" t="str">
        <f t="shared" ref="B26:B29" si="11">B25</f>
        <v>INVIHR11AMB1SAEU01NK</v>
      </c>
      <c r="C26" s="378"/>
      <c r="D26" s="72" t="s">
        <v>1140</v>
      </c>
      <c r="E26" s="11">
        <f>MG1VPRNs!E26</f>
        <v>1128</v>
      </c>
      <c r="F26" s="156" t="s">
        <v>1166</v>
      </c>
      <c r="G26" s="163" t="s">
        <v>1120</v>
      </c>
      <c r="H26" s="163" t="s">
        <v>233</v>
      </c>
      <c r="I26" s="164" t="s">
        <v>1124</v>
      </c>
      <c r="J26" s="167" t="s">
        <v>641</v>
      </c>
      <c r="K26" s="129" t="s">
        <v>36</v>
      </c>
      <c r="L26" s="228" t="s">
        <v>36</v>
      </c>
      <c r="M26" s="132" t="s">
        <v>36</v>
      </c>
      <c r="N26" s="72" t="str">
        <f>N24</f>
        <v>Physical3</v>
      </c>
      <c r="O26" s="52"/>
      <c r="P26" s="52" t="str">
        <f>""&amp;F26&amp;"-To-LEAF2"</f>
        <v>UP-IMS-MG20-PORT-1-To-LEAF2</v>
      </c>
      <c r="Q26" s="12" t="s">
        <v>36</v>
      </c>
      <c r="R26" s="52">
        <f t="shared" si="10"/>
        <v>100</v>
      </c>
      <c r="S26" s="52">
        <f t="shared" si="10"/>
        <v>100</v>
      </c>
      <c r="T26" s="52">
        <f t="shared" si="10"/>
        <v>3</v>
      </c>
      <c r="U26" s="52" t="str">
        <f>U25</f>
        <v>Static</v>
      </c>
      <c r="V26" s="52" t="str">
        <f t="shared" ref="V26:V27" si="12">V25</f>
        <v>0.0.0.0/0</v>
      </c>
      <c r="W26" s="254" t="str">
        <f>LEFT(H26,FIND("/",H26)-1)</f>
        <v>192.168.1.190</v>
      </c>
      <c r="X26" s="76" t="str">
        <f t="shared" ref="X26:X27" si="13">X25</f>
        <v>::/0</v>
      </c>
      <c r="Y26" s="18" t="str">
        <f>LEFT(J26,FIND("/",J26)-1)</f>
        <v>2402:3a80:1fff:c::1</v>
      </c>
      <c r="Z26" s="56"/>
      <c r="AA26" s="254"/>
      <c r="AB26" s="52"/>
      <c r="AC26" s="52"/>
      <c r="AD26" s="56"/>
      <c r="AE26" s="56"/>
      <c r="AF26" s="56"/>
      <c r="AG26" s="56"/>
      <c r="AH26" s="56"/>
      <c r="AI26" s="56"/>
    </row>
    <row r="27" spans="1:35">
      <c r="A27" s="56"/>
      <c r="B27" s="56" t="str">
        <f t="shared" si="11"/>
        <v>INVIHR11AMB1SAEU01NK</v>
      </c>
      <c r="C27" s="378"/>
      <c r="D27" s="72" t="s">
        <v>1141</v>
      </c>
      <c r="E27" s="11">
        <f>MG1VPRNs!E27</f>
        <v>1138</v>
      </c>
      <c r="F27" s="156" t="s">
        <v>1167</v>
      </c>
      <c r="G27" s="163" t="s">
        <v>1121</v>
      </c>
      <c r="H27" s="163" t="s">
        <v>235</v>
      </c>
      <c r="I27" s="165" t="s">
        <v>1125</v>
      </c>
      <c r="J27" s="168" t="s">
        <v>643</v>
      </c>
      <c r="K27" s="129" t="s">
        <v>36</v>
      </c>
      <c r="L27" s="228" t="s">
        <v>36</v>
      </c>
      <c r="M27" s="132" t="s">
        <v>36</v>
      </c>
      <c r="N27" s="72" t="str">
        <f>N24</f>
        <v>Physical3</v>
      </c>
      <c r="O27" s="52"/>
      <c r="P27" s="52" t="str">
        <f>""&amp;F27&amp;"-To-LEAF2"</f>
        <v>UP-IMS-MG20-PORT-2-To-LEAF2</v>
      </c>
      <c r="Q27" s="12" t="s">
        <v>36</v>
      </c>
      <c r="R27" s="52">
        <f t="shared" si="10"/>
        <v>100</v>
      </c>
      <c r="S27" s="52">
        <f t="shared" si="10"/>
        <v>100</v>
      </c>
      <c r="T27" s="52">
        <f t="shared" si="10"/>
        <v>3</v>
      </c>
      <c r="U27" s="87" t="str">
        <f>U26</f>
        <v>Static</v>
      </c>
      <c r="V27" s="52" t="str">
        <f t="shared" si="12"/>
        <v>0.0.0.0/0</v>
      </c>
      <c r="W27" s="254" t="str">
        <f>LEFT(H27,FIND("/",H27)-1)</f>
        <v>192.168.2.190</v>
      </c>
      <c r="X27" s="76" t="str">
        <f t="shared" si="13"/>
        <v>::/0</v>
      </c>
      <c r="Y27" s="18" t="str">
        <f>LEFT(J27,FIND("/",J27)-1)</f>
        <v>2402:3a80:1fff:d::1</v>
      </c>
      <c r="Z27" s="84"/>
      <c r="AA27" s="254"/>
      <c r="AB27" s="52"/>
      <c r="AC27" s="52"/>
      <c r="AD27" s="56"/>
      <c r="AE27" s="56"/>
      <c r="AF27" s="56"/>
      <c r="AG27" s="56"/>
      <c r="AH27" s="56"/>
      <c r="AI27" s="56"/>
    </row>
    <row r="28" spans="1:35">
      <c r="A28" s="56"/>
      <c r="B28" s="56" t="str">
        <f t="shared" si="11"/>
        <v>INVIHR11AMB1SAEU01NK</v>
      </c>
      <c r="C28" s="378"/>
      <c r="D28" s="27"/>
      <c r="E28" s="56"/>
      <c r="F28" s="156" t="s">
        <v>1174</v>
      </c>
      <c r="G28" s="131" t="s">
        <v>1178</v>
      </c>
      <c r="H28" s="79"/>
      <c r="I28" s="156" t="s">
        <v>1180</v>
      </c>
      <c r="J28" s="56" t="s">
        <v>36</v>
      </c>
      <c r="K28" s="157"/>
      <c r="L28" s="228" t="s">
        <v>36</v>
      </c>
      <c r="M28" s="228"/>
      <c r="N28" s="72" t="s">
        <v>70</v>
      </c>
      <c r="O28" s="157" t="s">
        <v>83</v>
      </c>
      <c r="P28" s="52" t="str">
        <f>F28</f>
        <v>UP-IMS-MG-GRP-9-lo1</v>
      </c>
      <c r="Q28" s="12" t="s">
        <v>36</v>
      </c>
      <c r="R28" s="254"/>
      <c r="S28" s="254"/>
      <c r="T28" s="254"/>
      <c r="U28" s="56"/>
      <c r="V28" s="56"/>
      <c r="W28" s="56"/>
      <c r="X28" s="56"/>
      <c r="Y28" s="9"/>
      <c r="Z28" s="56"/>
      <c r="AA28" s="56"/>
      <c r="AB28" s="52"/>
      <c r="AC28" s="156" t="s">
        <v>83</v>
      </c>
      <c r="AD28" s="56"/>
      <c r="AE28" s="56"/>
      <c r="AF28" s="56"/>
      <c r="AG28" s="56"/>
      <c r="AH28" s="56"/>
      <c r="AI28" s="56"/>
    </row>
    <row r="29" spans="1:35" ht="15" thickBot="1">
      <c r="A29" s="56"/>
      <c r="B29" s="56" t="str">
        <f t="shared" si="11"/>
        <v>INVIHR11AMB1SAEU01NK</v>
      </c>
      <c r="C29" s="378"/>
      <c r="D29" s="27"/>
      <c r="E29" s="56"/>
      <c r="F29" s="156" t="s">
        <v>1175</v>
      </c>
      <c r="G29" s="131" t="s">
        <v>1179</v>
      </c>
      <c r="H29" s="79"/>
      <c r="I29" s="156" t="s">
        <v>1181</v>
      </c>
      <c r="J29" s="56" t="s">
        <v>36</v>
      </c>
      <c r="K29" s="157"/>
      <c r="L29" s="228" t="s">
        <v>36</v>
      </c>
      <c r="M29" s="243"/>
      <c r="N29" s="72" t="str">
        <f>N28</f>
        <v>Loopback3</v>
      </c>
      <c r="O29" s="157" t="s">
        <v>83</v>
      </c>
      <c r="P29" s="52" t="str">
        <f>F29</f>
        <v>UP-IMS-MG-GRP-9-lo2</v>
      </c>
      <c r="Q29" s="12" t="s">
        <v>36</v>
      </c>
      <c r="R29" s="254"/>
      <c r="S29" s="254"/>
      <c r="T29" s="254"/>
      <c r="U29" s="56"/>
      <c r="V29" s="84"/>
      <c r="W29" s="84"/>
      <c r="X29" s="84"/>
      <c r="Y29" s="13"/>
      <c r="Z29" s="254"/>
      <c r="AA29" s="56"/>
      <c r="AB29" s="52"/>
      <c r="AC29" s="156" t="s">
        <v>83</v>
      </c>
      <c r="AD29" s="56"/>
      <c r="AE29" s="56"/>
      <c r="AF29" s="56"/>
      <c r="AG29" s="56"/>
      <c r="AH29" s="56"/>
      <c r="AI29" s="56"/>
    </row>
    <row r="30" spans="1:35" ht="15" thickBot="1">
      <c r="A30" s="66"/>
      <c r="B30" s="71"/>
      <c r="C30" s="71"/>
      <c r="D30" s="235"/>
      <c r="E30" s="71"/>
      <c r="F30" s="71"/>
      <c r="G30" s="71"/>
      <c r="H30" s="71"/>
      <c r="I30" s="71"/>
      <c r="J30" s="71"/>
      <c r="K30" s="17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99"/>
      <c r="W30" s="99"/>
      <c r="X30" s="99"/>
      <c r="Y30" s="199"/>
      <c r="Z30" s="71"/>
      <c r="AA30" s="71"/>
      <c r="AB30" s="71"/>
      <c r="AC30" s="71"/>
      <c r="AD30" s="71"/>
      <c r="AE30" s="71"/>
      <c r="AF30" s="71"/>
      <c r="AG30" s="71"/>
      <c r="AH30" s="71"/>
      <c r="AI30" s="71"/>
    </row>
    <row r="31" spans="1:35">
      <c r="A31" s="59"/>
      <c r="B31" s="102" t="str">
        <f>B8</f>
        <v>INVIHR11AMB1SAEU01NK</v>
      </c>
      <c r="C31" s="376" t="s">
        <v>715</v>
      </c>
      <c r="D31" s="72" t="s">
        <v>1138</v>
      </c>
      <c r="E31" s="204">
        <f>MG1VPRNs!E31</f>
        <v>1500</v>
      </c>
      <c r="F31" s="159" t="s">
        <v>1160</v>
      </c>
      <c r="G31" s="73" t="s">
        <v>36</v>
      </c>
      <c r="H31" s="73" t="str">
        <f t="shared" ref="H31:H40" si="14">G31</f>
        <v>NA</v>
      </c>
      <c r="I31" s="159" t="s">
        <v>1258</v>
      </c>
      <c r="J31" s="159" t="s">
        <v>691</v>
      </c>
      <c r="K31" s="129" t="s">
        <v>36</v>
      </c>
      <c r="L31" s="228" t="s">
        <v>36</v>
      </c>
      <c r="M31" s="132" t="s">
        <v>36</v>
      </c>
      <c r="N31" s="88" t="s">
        <v>67</v>
      </c>
      <c r="O31" s="73"/>
      <c r="P31" s="52" t="str">
        <f t="shared" ref="P31:P38" si="15">""&amp;F31&amp;"-To-LEAF2"</f>
        <v>Non-NAT-IPv6-MG19-PORT-1-To-LEAF2</v>
      </c>
      <c r="Q31" s="162">
        <v>1309</v>
      </c>
      <c r="R31" s="161">
        <f>R8</f>
        <v>100</v>
      </c>
      <c r="S31" s="161">
        <f>S8</f>
        <v>100</v>
      </c>
      <c r="T31" s="161">
        <f>T8</f>
        <v>3</v>
      </c>
      <c r="U31" s="161" t="s">
        <v>370</v>
      </c>
      <c r="V31" s="198" t="s">
        <v>36</v>
      </c>
      <c r="W31" s="198" t="s">
        <v>36</v>
      </c>
      <c r="X31" s="76" t="s">
        <v>765</v>
      </c>
      <c r="Y31" s="18" t="str">
        <f t="shared" ref="Y31:Y38" si="16">LEFT(J31,FIND("/",J31)-1)</f>
        <v>2402:3a80:1fff:5::1</v>
      </c>
      <c r="Z31" s="77">
        <f>Z24</f>
        <v>65010</v>
      </c>
      <c r="AA31" s="73" t="str">
        <f>"prefix_vprn"&amp;Q31&amp;""</f>
        <v>prefix_vprn1309</v>
      </c>
      <c r="AB31" s="74" t="str">
        <f>"vprn"&amp;Q31&amp;"_export"</f>
        <v>vprn1309_export</v>
      </c>
      <c r="AC31" s="74"/>
      <c r="AD31" s="74" t="s">
        <v>36</v>
      </c>
      <c r="AE31" s="74" t="s">
        <v>36</v>
      </c>
      <c r="AF31" s="74" t="str">
        <f>LEFT(I34,FIND("/",I34)-1)</f>
        <v>2402:3a80:1fff:8::b</v>
      </c>
      <c r="AG31" s="74" t="str">
        <f>LEFT(I39,FIND("/",I39)-1)</f>
        <v>2402:3a80:1fff:9::23</v>
      </c>
      <c r="AH31" s="161">
        <v>1300</v>
      </c>
      <c r="AI31" s="175" t="str">
        <f>"vprn"&amp;AH31&amp;"_import"</f>
        <v>vprn1300_import</v>
      </c>
    </row>
    <row r="32" spans="1:35">
      <c r="A32" s="59"/>
      <c r="B32" s="56" t="str">
        <f>B31</f>
        <v>INVIHR11AMB1SAEU01NK</v>
      </c>
      <c r="C32" s="376"/>
      <c r="D32" s="72" t="s">
        <v>1139</v>
      </c>
      <c r="E32" s="204">
        <f>MG1VPRNs!E32</f>
        <v>1510</v>
      </c>
      <c r="F32" s="159" t="s">
        <v>1161</v>
      </c>
      <c r="G32" s="56" t="s">
        <v>36</v>
      </c>
      <c r="H32" s="56" t="str">
        <f t="shared" si="14"/>
        <v>NA</v>
      </c>
      <c r="I32" s="159" t="s">
        <v>1259</v>
      </c>
      <c r="J32" s="159" t="s">
        <v>693</v>
      </c>
      <c r="K32" s="129" t="s">
        <v>36</v>
      </c>
      <c r="L32" s="228" t="s">
        <v>36</v>
      </c>
      <c r="M32" s="132" t="s">
        <v>36</v>
      </c>
      <c r="N32" s="72" t="str">
        <f>N31</f>
        <v>Physical4</v>
      </c>
      <c r="O32" s="56"/>
      <c r="P32" s="52" t="str">
        <f t="shared" si="15"/>
        <v>Non-NAT-IPv6-MG19-PORT-2-To-LEAF2</v>
      </c>
      <c r="Q32" s="12" t="s">
        <v>36</v>
      </c>
      <c r="R32" s="52">
        <f t="shared" ref="R32:U38" si="17">R31</f>
        <v>100</v>
      </c>
      <c r="S32" s="52">
        <f t="shared" si="17"/>
        <v>100</v>
      </c>
      <c r="T32" s="52">
        <f t="shared" si="17"/>
        <v>3</v>
      </c>
      <c r="U32" s="52" t="str">
        <f>U31</f>
        <v>Static</v>
      </c>
      <c r="V32" s="253" t="s">
        <v>36</v>
      </c>
      <c r="W32" s="253" t="s">
        <v>36</v>
      </c>
      <c r="X32" s="76" t="str">
        <f>X31</f>
        <v>::/0</v>
      </c>
      <c r="Y32" s="18" t="str">
        <f t="shared" si="16"/>
        <v>2402:3a80:1fff:6::1</v>
      </c>
      <c r="Z32" s="56"/>
      <c r="AA32" s="254"/>
      <c r="AB32" s="52"/>
      <c r="AC32" s="52"/>
      <c r="AD32" s="56"/>
      <c r="AE32" s="56"/>
      <c r="AF32" s="56"/>
      <c r="AG32" s="56"/>
      <c r="AH32" s="56"/>
      <c r="AI32" s="174"/>
    </row>
    <row r="33" spans="1:35">
      <c r="A33" s="59"/>
      <c r="B33" s="56" t="str">
        <f t="shared" ref="B33:B41" si="18">B32</f>
        <v>INVIHR11AMB1SAEU01NK</v>
      </c>
      <c r="C33" s="376"/>
      <c r="D33" s="72" t="s">
        <v>1140</v>
      </c>
      <c r="E33" s="204">
        <f>MG1VPRNs!E33</f>
        <v>1520</v>
      </c>
      <c r="F33" s="159" t="s">
        <v>1168</v>
      </c>
      <c r="G33" s="56" t="s">
        <v>36</v>
      </c>
      <c r="H33" s="56" t="str">
        <f t="shared" si="14"/>
        <v>NA</v>
      </c>
      <c r="I33" s="159" t="s">
        <v>1260</v>
      </c>
      <c r="J33" s="159" t="s">
        <v>695</v>
      </c>
      <c r="K33" s="129" t="s">
        <v>36</v>
      </c>
      <c r="L33" s="228" t="s">
        <v>36</v>
      </c>
      <c r="M33" s="132" t="s">
        <v>36</v>
      </c>
      <c r="N33" s="72" t="str">
        <f>N31</f>
        <v>Physical4</v>
      </c>
      <c r="O33" s="56"/>
      <c r="P33" s="52" t="str">
        <f t="shared" si="15"/>
        <v>Non-NAT-IPv6-MG20-PORT-1-To-LEAF2</v>
      </c>
      <c r="Q33" s="12" t="s">
        <v>36</v>
      </c>
      <c r="R33" s="52">
        <f t="shared" si="17"/>
        <v>100</v>
      </c>
      <c r="S33" s="52">
        <f t="shared" si="17"/>
        <v>100</v>
      </c>
      <c r="T33" s="52">
        <f t="shared" si="17"/>
        <v>3</v>
      </c>
      <c r="U33" s="52" t="str">
        <f>U32</f>
        <v>Static</v>
      </c>
      <c r="V33" s="253" t="s">
        <v>36</v>
      </c>
      <c r="W33" s="253" t="s">
        <v>36</v>
      </c>
      <c r="X33" s="76" t="str">
        <f t="shared" ref="X33:X34" si="19">X32</f>
        <v>::/0</v>
      </c>
      <c r="Y33" s="18" t="str">
        <f t="shared" si="16"/>
        <v>2402:3a80:1fff:7::1</v>
      </c>
      <c r="Z33" s="56"/>
      <c r="AA33" s="254"/>
      <c r="AB33" s="52"/>
      <c r="AC33" s="52"/>
      <c r="AD33" s="56"/>
      <c r="AE33" s="56"/>
      <c r="AF33" s="56"/>
      <c r="AG33" s="56"/>
      <c r="AH33" s="56"/>
      <c r="AI33" s="174"/>
    </row>
    <row r="34" spans="1:35">
      <c r="A34" s="59"/>
      <c r="B34" s="56" t="str">
        <f t="shared" si="18"/>
        <v>INVIHR11AMB1SAEU01NK</v>
      </c>
      <c r="C34" s="376"/>
      <c r="D34" s="72" t="s">
        <v>1141</v>
      </c>
      <c r="E34" s="204">
        <f>MG1VPRNs!E34</f>
        <v>1530</v>
      </c>
      <c r="F34" s="159" t="s">
        <v>1169</v>
      </c>
      <c r="G34" s="56" t="s">
        <v>36</v>
      </c>
      <c r="H34" s="56" t="str">
        <f t="shared" si="14"/>
        <v>NA</v>
      </c>
      <c r="I34" s="159" t="s">
        <v>1261</v>
      </c>
      <c r="J34" s="159" t="s">
        <v>697</v>
      </c>
      <c r="K34" s="129" t="s">
        <v>36</v>
      </c>
      <c r="L34" s="228" t="s">
        <v>36</v>
      </c>
      <c r="M34" s="132" t="s">
        <v>36</v>
      </c>
      <c r="N34" s="72" t="str">
        <f>N31</f>
        <v>Physical4</v>
      </c>
      <c r="O34" s="56"/>
      <c r="P34" s="52" t="str">
        <f t="shared" si="15"/>
        <v>Non-NAT-IPv6-MG20-PORT-2-To-LEAF2</v>
      </c>
      <c r="Q34" s="12" t="s">
        <v>36</v>
      </c>
      <c r="R34" s="52">
        <f t="shared" si="17"/>
        <v>100</v>
      </c>
      <c r="S34" s="52">
        <f t="shared" si="17"/>
        <v>100</v>
      </c>
      <c r="T34" s="52">
        <f t="shared" si="17"/>
        <v>3</v>
      </c>
      <c r="U34" s="52" t="str">
        <f>U33</f>
        <v>Static</v>
      </c>
      <c r="V34" s="253" t="s">
        <v>36</v>
      </c>
      <c r="W34" s="253" t="s">
        <v>36</v>
      </c>
      <c r="X34" s="76" t="str">
        <f t="shared" si="19"/>
        <v>::/0</v>
      </c>
      <c r="Y34" s="18" t="str">
        <f t="shared" si="16"/>
        <v>2402:3a80:1fff:8::1</v>
      </c>
      <c r="Z34" s="56"/>
      <c r="AA34" s="254"/>
      <c r="AB34" s="52"/>
      <c r="AC34" s="52"/>
      <c r="AD34" s="56"/>
      <c r="AE34" s="56"/>
      <c r="AF34" s="56"/>
      <c r="AG34" s="56"/>
      <c r="AH34" s="56"/>
      <c r="AI34" s="174"/>
    </row>
    <row r="35" spans="1:35">
      <c r="A35" s="59"/>
      <c r="B35" s="56" t="str">
        <f t="shared" si="18"/>
        <v>INVIHR11AMB1SAEU01NK</v>
      </c>
      <c r="C35" s="376"/>
      <c r="D35" s="72" t="s">
        <v>1138</v>
      </c>
      <c r="E35" s="205">
        <f>MG1VPRNs!E35</f>
        <v>1300</v>
      </c>
      <c r="F35" s="159" t="s">
        <v>1162</v>
      </c>
      <c r="G35" s="56" t="s">
        <v>36</v>
      </c>
      <c r="H35" s="56" t="str">
        <f t="shared" si="14"/>
        <v>NA</v>
      </c>
      <c r="I35" s="159" t="s">
        <v>1270</v>
      </c>
      <c r="J35" s="159" t="s">
        <v>1271</v>
      </c>
      <c r="K35" s="129" t="s">
        <v>36</v>
      </c>
      <c r="L35" s="228" t="s">
        <v>36</v>
      </c>
      <c r="M35" s="132" t="s">
        <v>36</v>
      </c>
      <c r="N35" s="72" t="str">
        <f t="shared" ref="N35:N38" si="20">N32</f>
        <v>Physical4</v>
      </c>
      <c r="O35" s="56"/>
      <c r="P35" s="52" t="str">
        <f t="shared" si="15"/>
        <v>TO-NAT-Redirect-MG19-PORT-1-To-LEAF2</v>
      </c>
      <c r="Q35" s="12" t="s">
        <v>36</v>
      </c>
      <c r="R35" s="52">
        <f t="shared" si="17"/>
        <v>100</v>
      </c>
      <c r="S35" s="52">
        <f t="shared" si="17"/>
        <v>100</v>
      </c>
      <c r="T35" s="52">
        <f t="shared" si="17"/>
        <v>3</v>
      </c>
      <c r="U35" s="52" t="str">
        <f t="shared" si="17"/>
        <v>Static</v>
      </c>
      <c r="V35" s="253" t="s">
        <v>36</v>
      </c>
      <c r="W35" s="253" t="s">
        <v>36</v>
      </c>
      <c r="X35" s="208" t="str">
        <f>NAT!Q8</f>
        <v>2402:3a80:1fff:3f::/96</v>
      </c>
      <c r="Y35" s="18" t="str">
        <f t="shared" si="16"/>
        <v>2402:3a80:1fff:10::25</v>
      </c>
      <c r="Z35" s="56"/>
      <c r="AA35" s="254"/>
      <c r="AB35" s="52"/>
      <c r="AC35" s="52"/>
      <c r="AD35" s="56"/>
      <c r="AE35" s="56"/>
      <c r="AF35" s="56"/>
      <c r="AG35" s="56"/>
      <c r="AH35" s="56"/>
      <c r="AI35" s="174"/>
    </row>
    <row r="36" spans="1:35">
      <c r="A36" s="59"/>
      <c r="B36" s="56" t="str">
        <f t="shared" si="18"/>
        <v>INVIHR11AMB1SAEU01NK</v>
      </c>
      <c r="C36" s="376"/>
      <c r="D36" s="72" t="s">
        <v>1139</v>
      </c>
      <c r="E36" s="205">
        <f>MG1VPRNs!E36</f>
        <v>1310</v>
      </c>
      <c r="F36" s="159" t="s">
        <v>1163</v>
      </c>
      <c r="G36" s="56" t="s">
        <v>36</v>
      </c>
      <c r="H36" s="56" t="str">
        <f t="shared" si="14"/>
        <v>NA</v>
      </c>
      <c r="I36" s="159" t="s">
        <v>1272</v>
      </c>
      <c r="J36" s="159" t="s">
        <v>1273</v>
      </c>
      <c r="K36" s="129" t="s">
        <v>36</v>
      </c>
      <c r="L36" s="228" t="s">
        <v>36</v>
      </c>
      <c r="M36" s="132" t="s">
        <v>36</v>
      </c>
      <c r="N36" s="72" t="str">
        <f t="shared" si="20"/>
        <v>Physical4</v>
      </c>
      <c r="O36" s="56"/>
      <c r="P36" s="52" t="str">
        <f t="shared" si="15"/>
        <v>TO-NAT-Redirect-MG19-PORT-2-To-LEAF2</v>
      </c>
      <c r="Q36" s="12" t="s">
        <v>36</v>
      </c>
      <c r="R36" s="52">
        <f t="shared" si="17"/>
        <v>100</v>
      </c>
      <c r="S36" s="52">
        <f t="shared" si="17"/>
        <v>100</v>
      </c>
      <c r="T36" s="52">
        <f t="shared" si="17"/>
        <v>3</v>
      </c>
      <c r="U36" s="52" t="str">
        <f t="shared" si="17"/>
        <v>Static</v>
      </c>
      <c r="V36" s="253" t="s">
        <v>36</v>
      </c>
      <c r="W36" s="253" t="s">
        <v>36</v>
      </c>
      <c r="X36" s="208" t="str">
        <f>X35</f>
        <v>2402:3a80:1fff:3f::/96</v>
      </c>
      <c r="Y36" s="18" t="str">
        <f t="shared" si="16"/>
        <v>2402:3a80:1fff:11::25</v>
      </c>
      <c r="Z36" s="56"/>
      <c r="AA36" s="254"/>
      <c r="AB36" s="52"/>
      <c r="AC36" s="52"/>
      <c r="AD36" s="56"/>
      <c r="AE36" s="56"/>
      <c r="AF36" s="56"/>
      <c r="AG36" s="56"/>
      <c r="AH36" s="56"/>
      <c r="AI36" s="174"/>
    </row>
    <row r="37" spans="1:35">
      <c r="A37" s="59"/>
      <c r="B37" s="56" t="str">
        <f t="shared" si="18"/>
        <v>INVIHR11AMB1SAEU01NK</v>
      </c>
      <c r="C37" s="376"/>
      <c r="D37" s="72" t="s">
        <v>1140</v>
      </c>
      <c r="E37" s="205">
        <f>MG1VPRNs!E37</f>
        <v>1320</v>
      </c>
      <c r="F37" s="159" t="s">
        <v>1170</v>
      </c>
      <c r="G37" s="56" t="s">
        <v>36</v>
      </c>
      <c r="H37" s="56" t="str">
        <f t="shared" si="14"/>
        <v>NA</v>
      </c>
      <c r="I37" s="159" t="s">
        <v>1274</v>
      </c>
      <c r="J37" s="159" t="s">
        <v>1275</v>
      </c>
      <c r="K37" s="129" t="s">
        <v>36</v>
      </c>
      <c r="L37" s="228" t="s">
        <v>36</v>
      </c>
      <c r="M37" s="132" t="s">
        <v>36</v>
      </c>
      <c r="N37" s="72" t="str">
        <f t="shared" si="20"/>
        <v>Physical4</v>
      </c>
      <c r="O37" s="56"/>
      <c r="P37" s="52" t="str">
        <f t="shared" si="15"/>
        <v>TO-NAT-Redirect-MG20-PORT-1-To-LEAF2</v>
      </c>
      <c r="Q37" s="12" t="s">
        <v>36</v>
      </c>
      <c r="R37" s="52">
        <f t="shared" si="17"/>
        <v>100</v>
      </c>
      <c r="S37" s="52">
        <f t="shared" si="17"/>
        <v>100</v>
      </c>
      <c r="T37" s="52">
        <f t="shared" si="17"/>
        <v>3</v>
      </c>
      <c r="U37" s="52" t="str">
        <f t="shared" si="17"/>
        <v>Static</v>
      </c>
      <c r="V37" s="253" t="s">
        <v>36</v>
      </c>
      <c r="W37" s="253" t="s">
        <v>36</v>
      </c>
      <c r="X37" s="208" t="str">
        <f t="shared" ref="X37:X38" si="21">X36</f>
        <v>2402:3a80:1fff:3f::/96</v>
      </c>
      <c r="Y37" s="18" t="str">
        <f t="shared" si="16"/>
        <v>2402:3a80:1fff:12::25</v>
      </c>
      <c r="Z37" s="56"/>
      <c r="AA37" s="254"/>
      <c r="AB37" s="52"/>
      <c r="AC37" s="52"/>
      <c r="AD37" s="56"/>
      <c r="AE37" s="56"/>
      <c r="AF37" s="56"/>
      <c r="AG37" s="56"/>
      <c r="AH37" s="56"/>
      <c r="AI37" s="174"/>
    </row>
    <row r="38" spans="1:35">
      <c r="A38" s="59"/>
      <c r="B38" s="56" t="str">
        <f t="shared" si="18"/>
        <v>INVIHR11AMB1SAEU01NK</v>
      </c>
      <c r="C38" s="376"/>
      <c r="D38" s="72" t="s">
        <v>1141</v>
      </c>
      <c r="E38" s="205">
        <f>MG1VPRNs!E38</f>
        <v>1330</v>
      </c>
      <c r="F38" s="159" t="s">
        <v>1171</v>
      </c>
      <c r="G38" s="56" t="s">
        <v>36</v>
      </c>
      <c r="H38" s="56" t="str">
        <f t="shared" si="14"/>
        <v>NA</v>
      </c>
      <c r="I38" s="159" t="s">
        <v>1276</v>
      </c>
      <c r="J38" s="159" t="s">
        <v>1277</v>
      </c>
      <c r="K38" s="129" t="s">
        <v>36</v>
      </c>
      <c r="L38" s="228" t="s">
        <v>36</v>
      </c>
      <c r="M38" s="132" t="s">
        <v>36</v>
      </c>
      <c r="N38" s="72" t="str">
        <f t="shared" si="20"/>
        <v>Physical4</v>
      </c>
      <c r="O38" s="56"/>
      <c r="P38" s="52" t="str">
        <f t="shared" si="15"/>
        <v>TO-NAT-Redirect-MG20-PORT-2-To-LEAF2</v>
      </c>
      <c r="Q38" s="12" t="s">
        <v>36</v>
      </c>
      <c r="R38" s="52">
        <f t="shared" si="17"/>
        <v>100</v>
      </c>
      <c r="S38" s="52">
        <f t="shared" si="17"/>
        <v>100</v>
      </c>
      <c r="T38" s="52">
        <f t="shared" si="17"/>
        <v>3</v>
      </c>
      <c r="U38" s="52" t="str">
        <f t="shared" si="17"/>
        <v>Static</v>
      </c>
      <c r="V38" s="253" t="s">
        <v>36</v>
      </c>
      <c r="W38" s="253" t="s">
        <v>36</v>
      </c>
      <c r="X38" s="208" t="str">
        <f t="shared" si="21"/>
        <v>2402:3a80:1fff:3f::/96</v>
      </c>
      <c r="Y38" s="18" t="str">
        <f t="shared" si="16"/>
        <v>2402:3a80:1fff:13::25</v>
      </c>
      <c r="Z38" s="56"/>
      <c r="AA38" s="254"/>
      <c r="AB38" s="52"/>
      <c r="AC38" s="52"/>
      <c r="AD38" s="56"/>
      <c r="AE38" s="56"/>
      <c r="AF38" s="56"/>
      <c r="AG38" s="56"/>
      <c r="AH38" s="56"/>
      <c r="AI38" s="174"/>
    </row>
    <row r="39" spans="1:35">
      <c r="A39" s="59"/>
      <c r="B39" s="56" t="str">
        <f>B34</f>
        <v>INVIHR11AMB1SAEU01NK</v>
      </c>
      <c r="C39" s="376"/>
      <c r="D39" s="187"/>
      <c r="E39" s="56"/>
      <c r="F39" s="159" t="s">
        <v>1176</v>
      </c>
      <c r="G39" s="56" t="s">
        <v>36</v>
      </c>
      <c r="H39" s="56" t="str">
        <f t="shared" si="14"/>
        <v>NA</v>
      </c>
      <c r="I39" s="159" t="s">
        <v>1262</v>
      </c>
      <c r="J39" s="56"/>
      <c r="K39" s="156"/>
      <c r="L39" s="228" t="s">
        <v>36</v>
      </c>
      <c r="M39" s="228"/>
      <c r="N39" s="72" t="s">
        <v>72</v>
      </c>
      <c r="O39" s="156" t="s">
        <v>83</v>
      </c>
      <c r="P39" s="52" t="str">
        <f>F39</f>
        <v>NAT-IPv6-MG-GRP-9-lo1</v>
      </c>
      <c r="Q39" s="12" t="s">
        <v>36</v>
      </c>
      <c r="R39" s="254"/>
      <c r="S39" s="254"/>
      <c r="T39" s="254"/>
      <c r="U39" s="56"/>
      <c r="V39" s="56"/>
      <c r="W39" s="56"/>
      <c r="X39" s="56"/>
      <c r="Y39" s="9"/>
      <c r="Z39" s="56"/>
      <c r="AA39" s="56"/>
      <c r="AB39" s="52"/>
      <c r="AC39" s="156" t="s">
        <v>83</v>
      </c>
      <c r="AD39" s="56"/>
      <c r="AE39" s="56"/>
      <c r="AF39" s="56"/>
      <c r="AG39" s="56"/>
      <c r="AH39" s="56"/>
      <c r="AI39" s="174"/>
    </row>
    <row r="40" spans="1:35">
      <c r="A40" s="59"/>
      <c r="B40" s="56" t="str">
        <f t="shared" si="18"/>
        <v>INVIHR11AMB1SAEU01NK</v>
      </c>
      <c r="C40" s="376"/>
      <c r="D40" s="236"/>
      <c r="E40" s="56"/>
      <c r="F40" s="159" t="s">
        <v>1177</v>
      </c>
      <c r="G40" s="56" t="s">
        <v>36</v>
      </c>
      <c r="H40" s="56" t="str">
        <f t="shared" si="14"/>
        <v>NA</v>
      </c>
      <c r="I40" s="159" t="s">
        <v>1263</v>
      </c>
      <c r="J40" s="56"/>
      <c r="K40" s="156"/>
      <c r="L40" s="228" t="s">
        <v>36</v>
      </c>
      <c r="M40" s="228"/>
      <c r="N40" s="72" t="str">
        <f>N39</f>
        <v>Loopback4</v>
      </c>
      <c r="O40" s="156" t="s">
        <v>83</v>
      </c>
      <c r="P40" s="52" t="str">
        <f>F40</f>
        <v>NAT-IPv6-MG-GRP-9-lo2</v>
      </c>
      <c r="Q40" s="12" t="s">
        <v>36</v>
      </c>
      <c r="R40" s="254"/>
      <c r="S40" s="254"/>
      <c r="T40" s="254"/>
      <c r="U40" s="56"/>
      <c r="V40" s="56"/>
      <c r="W40" s="56"/>
      <c r="X40" s="56"/>
      <c r="Y40" s="9"/>
      <c r="Z40" s="254"/>
      <c r="AA40" s="56"/>
      <c r="AB40" s="52"/>
      <c r="AC40" s="156" t="s">
        <v>83</v>
      </c>
      <c r="AD40" s="56"/>
      <c r="AE40" s="56"/>
      <c r="AF40" s="56"/>
      <c r="AG40" s="56"/>
      <c r="AH40" s="56"/>
      <c r="AI40" s="174"/>
    </row>
    <row r="41" spans="1:35" ht="15" thickBot="1">
      <c r="A41" s="59"/>
      <c r="B41" s="84" t="str">
        <f t="shared" si="18"/>
        <v>INVIHR11AMB1SAEU01NK</v>
      </c>
      <c r="C41" s="376"/>
      <c r="D41" s="237"/>
      <c r="E41" s="84"/>
      <c r="F41" s="203" t="s">
        <v>1104</v>
      </c>
      <c r="G41" s="207">
        <f>'[2]External Interfaces'!$H$69</f>
        <v>0</v>
      </c>
      <c r="H41" s="84" t="s">
        <v>36</v>
      </c>
      <c r="I41" s="207">
        <f>'[2]External Interfaces'!$I$69</f>
        <v>0</v>
      </c>
      <c r="J41" s="84"/>
      <c r="K41" s="157"/>
      <c r="L41" s="228" t="s">
        <v>36</v>
      </c>
      <c r="M41" s="243"/>
      <c r="N41" s="85" t="str">
        <f>N40</f>
        <v>Loopback4</v>
      </c>
      <c r="O41" s="157" t="s">
        <v>84</v>
      </c>
      <c r="P41" s="52" t="str">
        <f>F41</f>
        <v>www-pool9</v>
      </c>
      <c r="Q41" s="14" t="s">
        <v>36</v>
      </c>
      <c r="R41" s="84"/>
      <c r="S41" s="84"/>
      <c r="T41" s="84"/>
      <c r="U41" s="84"/>
      <c r="V41" s="272" t="s">
        <v>36</v>
      </c>
      <c r="W41" s="84"/>
      <c r="X41" s="56"/>
      <c r="Y41" s="13"/>
      <c r="Z41" s="84"/>
      <c r="AA41" s="84" t="str">
        <f>AA31</f>
        <v>prefix_vprn1309</v>
      </c>
      <c r="AB41" s="84" t="str">
        <f>AB31</f>
        <v>vprn1309_export</v>
      </c>
      <c r="AC41" s="157" t="s">
        <v>84</v>
      </c>
      <c r="AD41" s="84"/>
      <c r="AE41" s="84"/>
      <c r="AF41" s="84"/>
      <c r="AG41" s="84"/>
      <c r="AH41" s="84"/>
      <c r="AI41" s="176" t="str">
        <f>AI31</f>
        <v>vprn1300_import</v>
      </c>
    </row>
    <row r="42" spans="1:35" ht="15" thickBot="1">
      <c r="A42" s="66"/>
      <c r="B42" s="71"/>
      <c r="C42" s="71"/>
      <c r="D42" s="235"/>
      <c r="E42" s="71"/>
      <c r="F42" s="71"/>
      <c r="G42" s="71"/>
      <c r="H42" s="71"/>
      <c r="I42" s="71"/>
      <c r="J42" s="71"/>
      <c r="K42" s="9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59"/>
      <c r="Y42" s="17"/>
      <c r="Z42" s="71"/>
      <c r="AA42" s="71"/>
      <c r="AB42" s="71"/>
      <c r="AC42" s="71"/>
      <c r="AD42" s="71"/>
      <c r="AE42" s="71"/>
      <c r="AF42" s="71"/>
      <c r="AG42" s="71"/>
      <c r="AH42" s="71"/>
      <c r="AI42" s="71"/>
    </row>
    <row r="43" spans="1:35">
      <c r="A43" s="59"/>
      <c r="B43" s="102" t="str">
        <f>B20</f>
        <v>INVIHR11AMB1SAEU01NK</v>
      </c>
      <c r="C43" s="376" t="s">
        <v>749</v>
      </c>
      <c r="D43" s="72" t="s">
        <v>1138</v>
      </c>
      <c r="E43" s="77">
        <f>MG1VPRNs!E43</f>
        <v>1400</v>
      </c>
      <c r="F43" s="159" t="s">
        <v>1389</v>
      </c>
      <c r="G43" s="73" t="s">
        <v>36</v>
      </c>
      <c r="H43" s="73" t="str">
        <f t="shared" ref="H43:H46" si="22">G43</f>
        <v>NA</v>
      </c>
      <c r="I43" s="159" t="s">
        <v>1326</v>
      </c>
      <c r="J43" s="159" t="s">
        <v>1327</v>
      </c>
      <c r="K43" s="194">
        <v>1409</v>
      </c>
      <c r="L43" s="228" t="s">
        <v>36</v>
      </c>
      <c r="M43" s="132" t="s">
        <v>36</v>
      </c>
      <c r="N43" s="88" t="s">
        <v>698</v>
      </c>
      <c r="O43" s="73"/>
      <c r="P43" s="52" t="str">
        <f>""&amp;F43&amp;"-To-"&amp;Q31&amp;""</f>
        <v>IPv6-1409-MG19-to-WBX-1-To-1309</v>
      </c>
      <c r="Q43" s="162">
        <v>1409</v>
      </c>
      <c r="R43" s="161">
        <f>R20</f>
        <v>100</v>
      </c>
      <c r="S43" s="161">
        <f>S20</f>
        <v>100</v>
      </c>
      <c r="T43" s="161">
        <f>T20</f>
        <v>3</v>
      </c>
      <c r="U43" s="161" t="s">
        <v>370</v>
      </c>
      <c r="V43" s="198" t="s">
        <v>36</v>
      </c>
      <c r="W43" s="198" t="s">
        <v>36</v>
      </c>
      <c r="X43" s="10">
        <f>I41</f>
        <v>0</v>
      </c>
      <c r="Y43" s="18" t="str">
        <f>LEFT(J43,FIND("/",J43)-1)</f>
        <v>2402:3a80:1fff:14::25</v>
      </c>
      <c r="Z43" s="77">
        <f>Z31</f>
        <v>65010</v>
      </c>
      <c r="AA43" s="73" t="s">
        <v>36</v>
      </c>
      <c r="AB43" s="74" t="s">
        <v>36</v>
      </c>
      <c r="AC43" s="74"/>
      <c r="AD43" s="74" t="s">
        <v>36</v>
      </c>
      <c r="AE43" s="74" t="s">
        <v>36</v>
      </c>
      <c r="AF43" s="74" t="s">
        <v>36</v>
      </c>
      <c r="AG43" s="74" t="s">
        <v>36</v>
      </c>
      <c r="AH43" s="102" t="s">
        <v>36</v>
      </c>
      <c r="AI43" s="175" t="str">
        <f>"vprn"&amp;AH43&amp;"_import"</f>
        <v>vprnNA_import</v>
      </c>
    </row>
    <row r="44" spans="1:35">
      <c r="A44" s="59"/>
      <c r="B44" s="56" t="str">
        <f>B43</f>
        <v>INVIHR11AMB1SAEU01NK</v>
      </c>
      <c r="C44" s="376"/>
      <c r="D44" s="72" t="s">
        <v>1139</v>
      </c>
      <c r="E44" s="77">
        <f>MG1VPRNs!E44</f>
        <v>1410</v>
      </c>
      <c r="F44" s="159" t="s">
        <v>1390</v>
      </c>
      <c r="G44" s="56" t="s">
        <v>36</v>
      </c>
      <c r="H44" s="56" t="str">
        <f t="shared" si="22"/>
        <v>NA</v>
      </c>
      <c r="I44" s="159" t="s">
        <v>1328</v>
      </c>
      <c r="J44" s="159" t="s">
        <v>1329</v>
      </c>
      <c r="K44" s="194">
        <v>1409</v>
      </c>
      <c r="L44" s="228" t="s">
        <v>36</v>
      </c>
      <c r="M44" s="132" t="s">
        <v>36</v>
      </c>
      <c r="N44" s="72" t="str">
        <f>N43</f>
        <v>Physical5</v>
      </c>
      <c r="O44" s="56"/>
      <c r="P44" s="52" t="str">
        <f>""&amp;F44&amp;"-To-"&amp;Q31&amp;""</f>
        <v>IPv6-1409-MG19-to-WBX-2-To-1309</v>
      </c>
      <c r="Q44" s="12" t="s">
        <v>36</v>
      </c>
      <c r="R44" s="52">
        <f t="shared" ref="R44:T46" si="23">R43</f>
        <v>100</v>
      </c>
      <c r="S44" s="52">
        <f t="shared" si="23"/>
        <v>100</v>
      </c>
      <c r="T44" s="52">
        <f t="shared" si="23"/>
        <v>3</v>
      </c>
      <c r="U44" s="52" t="str">
        <f>U43</f>
        <v>Static</v>
      </c>
      <c r="V44" s="253" t="s">
        <v>36</v>
      </c>
      <c r="W44" s="253" t="s">
        <v>36</v>
      </c>
      <c r="X44" s="10">
        <f>X43</f>
        <v>0</v>
      </c>
      <c r="Y44" s="10" t="str">
        <f>LEFT(J44,FIND("/",J44)-1)</f>
        <v>2402:3a80:1fff:15::25</v>
      </c>
      <c r="Z44" s="56"/>
      <c r="AA44" s="254"/>
      <c r="AB44" s="52"/>
      <c r="AC44" s="52"/>
      <c r="AD44" s="56"/>
      <c r="AE44" s="56"/>
      <c r="AF44" s="56"/>
      <c r="AG44" s="56"/>
      <c r="AH44" s="56"/>
      <c r="AI44" s="174"/>
    </row>
    <row r="45" spans="1:35">
      <c r="A45" s="59"/>
      <c r="B45" s="56" t="str">
        <f t="shared" ref="B45:B46" si="24">B44</f>
        <v>INVIHR11AMB1SAEU01NK</v>
      </c>
      <c r="C45" s="376"/>
      <c r="D45" s="72" t="s">
        <v>1140</v>
      </c>
      <c r="E45" s="77">
        <f>MG1VPRNs!E45</f>
        <v>1420</v>
      </c>
      <c r="F45" s="159" t="s">
        <v>1391</v>
      </c>
      <c r="G45" s="56" t="s">
        <v>36</v>
      </c>
      <c r="H45" s="56" t="str">
        <f t="shared" si="22"/>
        <v>NA</v>
      </c>
      <c r="I45" s="159" t="s">
        <v>1330</v>
      </c>
      <c r="J45" s="159" t="s">
        <v>1331</v>
      </c>
      <c r="K45" s="194">
        <v>1409</v>
      </c>
      <c r="L45" s="228" t="s">
        <v>36</v>
      </c>
      <c r="M45" s="132" t="s">
        <v>36</v>
      </c>
      <c r="N45" s="72" t="str">
        <f>N43</f>
        <v>Physical5</v>
      </c>
      <c r="O45" s="56"/>
      <c r="P45" s="52" t="str">
        <f>""&amp;F45&amp;"-To-"&amp;Q31&amp;""</f>
        <v>IPv6-1409-MG20-to-WBX-1-To-1309</v>
      </c>
      <c r="Q45" s="12" t="s">
        <v>36</v>
      </c>
      <c r="R45" s="52">
        <f t="shared" si="23"/>
        <v>100</v>
      </c>
      <c r="S45" s="52">
        <f t="shared" si="23"/>
        <v>100</v>
      </c>
      <c r="T45" s="52">
        <f t="shared" si="23"/>
        <v>3</v>
      </c>
      <c r="U45" s="52" t="str">
        <f>U44</f>
        <v>Static</v>
      </c>
      <c r="V45" s="253" t="s">
        <v>36</v>
      </c>
      <c r="W45" s="253" t="s">
        <v>36</v>
      </c>
      <c r="X45" s="10">
        <f t="shared" ref="X45:X46" si="25">X44</f>
        <v>0</v>
      </c>
      <c r="Y45" s="10" t="str">
        <f>LEFT(J45,FIND("/",J45)-1)</f>
        <v>2402:3a80:1fff:16::25</v>
      </c>
      <c r="Z45" s="56"/>
      <c r="AA45" s="254"/>
      <c r="AB45" s="52"/>
      <c r="AC45" s="52"/>
      <c r="AD45" s="56"/>
      <c r="AE45" s="56"/>
      <c r="AF45" s="56"/>
      <c r="AG45" s="56"/>
      <c r="AH45" s="56"/>
      <c r="AI45" s="174"/>
    </row>
    <row r="46" spans="1:35" ht="15" thickBot="1">
      <c r="A46" s="59"/>
      <c r="B46" s="84" t="str">
        <f t="shared" si="24"/>
        <v>INVIHR11AMB1SAEU01NK</v>
      </c>
      <c r="C46" s="376"/>
      <c r="D46" s="72" t="s">
        <v>1141</v>
      </c>
      <c r="E46" s="210">
        <f>MG1VPRNs!E46</f>
        <v>1430</v>
      </c>
      <c r="F46" s="159" t="s">
        <v>1392</v>
      </c>
      <c r="G46" s="56" t="s">
        <v>36</v>
      </c>
      <c r="H46" s="56" t="str">
        <f t="shared" si="22"/>
        <v>NA</v>
      </c>
      <c r="I46" s="159" t="s">
        <v>1332</v>
      </c>
      <c r="J46" s="159" t="s">
        <v>1333</v>
      </c>
      <c r="K46" s="194">
        <v>1409</v>
      </c>
      <c r="L46" s="228" t="s">
        <v>36</v>
      </c>
      <c r="M46" s="132" t="s">
        <v>36</v>
      </c>
      <c r="N46" s="85" t="str">
        <f>N43</f>
        <v>Physical5</v>
      </c>
      <c r="O46" s="84"/>
      <c r="P46" s="52" t="str">
        <f>""&amp;F46&amp;"-To-"&amp;Q31&amp;""</f>
        <v>IPv6-1409-MG20-to-WBX-2-To-1309</v>
      </c>
      <c r="Q46" s="14" t="s">
        <v>36</v>
      </c>
      <c r="R46" s="87">
        <f t="shared" si="23"/>
        <v>100</v>
      </c>
      <c r="S46" s="87">
        <f t="shared" si="23"/>
        <v>100</v>
      </c>
      <c r="T46" s="87">
        <f t="shared" si="23"/>
        <v>3</v>
      </c>
      <c r="U46" s="87" t="str">
        <f>U45</f>
        <v>Static</v>
      </c>
      <c r="V46" s="145" t="s">
        <v>36</v>
      </c>
      <c r="W46" s="145" t="s">
        <v>36</v>
      </c>
      <c r="X46" s="10">
        <f t="shared" si="25"/>
        <v>0</v>
      </c>
      <c r="Y46" s="202" t="str">
        <f>LEFT(J46,FIND("/",J46)-1)</f>
        <v>2402:3a80:1fff:17::25</v>
      </c>
      <c r="Z46" s="84"/>
      <c r="AA46" s="86"/>
      <c r="AB46" s="87"/>
      <c r="AC46" s="87"/>
      <c r="AD46" s="84"/>
      <c r="AE46" s="84"/>
      <c r="AF46" s="84"/>
      <c r="AG46" s="84"/>
      <c r="AH46" s="84"/>
      <c r="AI46" s="176"/>
    </row>
    <row r="47" spans="1:35" ht="15" thickBot="1">
      <c r="A47" s="66"/>
      <c r="B47" s="71"/>
      <c r="C47" s="71"/>
      <c r="D47" s="235"/>
      <c r="E47" s="71"/>
      <c r="F47" s="71"/>
      <c r="G47" s="71"/>
      <c r="H47" s="71"/>
      <c r="I47" s="71"/>
      <c r="J47" s="71"/>
      <c r="K47" s="17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17"/>
      <c r="Z47" s="71"/>
      <c r="AA47" s="71"/>
      <c r="AB47" s="71"/>
      <c r="AC47" s="71"/>
      <c r="AD47" s="71"/>
      <c r="AE47" s="71"/>
      <c r="AF47" s="71"/>
      <c r="AG47" s="71"/>
      <c r="AH47" s="71"/>
      <c r="AI47" s="71"/>
    </row>
  </sheetData>
  <mergeCells count="12">
    <mergeCell ref="B1:B3"/>
    <mergeCell ref="C4:AG4"/>
    <mergeCell ref="D5:Q5"/>
    <mergeCell ref="R5:AI5"/>
    <mergeCell ref="R6:T6"/>
    <mergeCell ref="V6:AA6"/>
    <mergeCell ref="AB6:AI6"/>
    <mergeCell ref="C8:C15"/>
    <mergeCell ref="C17:C22"/>
    <mergeCell ref="C24:C29"/>
    <mergeCell ref="C31:C41"/>
    <mergeCell ref="C43:C46"/>
  </mergeCells>
  <dataValidations count="3">
    <dataValidation type="list" allowBlank="1" showInputMessage="1" showErrorMessage="1" sqref="U8:U29 U31:U40 U43:U46" xr:uid="{E5F2ABBA-8256-458E-8BA6-5BE8E38C4565}">
      <formula1>$U$1:$U$3</formula1>
    </dataValidation>
    <dataValidation type="list" allowBlank="1" showInputMessage="1" showErrorMessage="1" sqref="AC8:AC29 AC31:AC41 AC43:AC46" xr:uid="{9821034C-845C-4BAD-91CA-1314D36DFFD5}">
      <formula1>$AC$1:$AC$3</formula1>
    </dataValidation>
    <dataValidation type="list" allowBlank="1" showInputMessage="1" showErrorMessage="1" sqref="O8:O29 O39:O41" xr:uid="{EF1FB6CE-7B80-4DB3-8573-68EF0F588D41}">
      <formula1>$O$1:$O$2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8A534075C6B74F8403142B7ED870A6" ma:contentTypeVersion="12" ma:contentTypeDescription="Create a new document." ma:contentTypeScope="" ma:versionID="03842d8f02e684e96a5ce7c8227a89b8">
  <xsd:schema xmlns:xsd="http://www.w3.org/2001/XMLSchema" xmlns:xs="http://www.w3.org/2001/XMLSchema" xmlns:p="http://schemas.microsoft.com/office/2006/metadata/properties" xmlns:ns2="71c5aaf6-e6ce-465b-b873-5148d2a4c105" xmlns:ns3="5445bb76-5d0f-498a-9c7c-deac085ce5f7" xmlns:ns4="effa25bc-93d8-4036-a264-6c5303a7df71" targetNamespace="http://schemas.microsoft.com/office/2006/metadata/properties" ma:root="true" ma:fieldsID="06e6dcbd4288a8c8b8f9a743075db424" ns2:_="" ns3:_="" ns4:_="">
    <xsd:import namespace="71c5aaf6-e6ce-465b-b873-5148d2a4c105"/>
    <xsd:import namespace="5445bb76-5d0f-498a-9c7c-deac085ce5f7"/>
    <xsd:import namespace="effa25bc-93d8-4036-a264-6c5303a7df7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SharedWithUsers" minOccurs="0"/>
                <xsd:element ref="ns3:SharedWithDetails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45bb76-5d0f-498a-9c7c-deac085ce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fa25bc-93d8-4036-a264-6c5303a7df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34c87397-5fc1-491e-85e7-d6110dbe9cbd" ContentTypeId="0x0101" PreviousValue="false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71c5aaf6-e6ce-465b-b873-5148d2a4c105">A2IPPMSINSSN-1606433344-73589</_dlc_DocId>
    <_dlc_DocIdUrl xmlns="71c5aaf6-e6ce-465b-b873-5148d2a4c105">
      <Url>https://nokia.sharepoint.com/sites/GNEIndiaCenter/_layouts/15/DocIdRedir.aspx?ID=A2IPPMSINSSN-1606433344-73589</Url>
      <Description>A2IPPMSINSSN-1606433344-73589</Description>
    </_dlc_DocIdUrl>
    <HideFromDelve xmlns="71c5aaf6-e6ce-465b-b873-5148d2a4c105">false</HideFromDelve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67125C4-BD2C-4AC9-9F95-693C5056CE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5445bb76-5d0f-498a-9c7c-deac085ce5f7"/>
    <ds:schemaRef ds:uri="effa25bc-93d8-4036-a264-6c5303a7df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875AFD-8DA0-49DB-A4A2-F46A17280A17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C3013A85-4B59-4C3F-AC2B-B463C735615D}">
  <ds:schemaRefs>
    <ds:schemaRef ds:uri="71c5aaf6-e6ce-465b-b873-5148d2a4c105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effa25bc-93d8-4036-a264-6c5303a7df71"/>
    <ds:schemaRef ds:uri="5445bb76-5d0f-498a-9c7c-deac085ce5f7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DCDE18C-B8D9-4DE8-BE51-1DE4EF64F26F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1B915331-AB10-4130-9530-B0FF51DB0A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Readme</vt:lpstr>
      <vt:lpstr>Beforeyoustart</vt:lpstr>
      <vt:lpstr>External Interfaces</vt:lpstr>
      <vt:lpstr>Node</vt:lpstr>
      <vt:lpstr>Cards</vt:lpstr>
      <vt:lpstr>Ports</vt:lpstr>
      <vt:lpstr>Security</vt:lpstr>
      <vt:lpstr>Logs</vt:lpstr>
      <vt:lpstr>KPILogs</vt:lpstr>
      <vt:lpstr>MGBasic</vt:lpstr>
      <vt:lpstr>Diameter</vt:lpstr>
      <vt:lpstr>Radius</vt:lpstr>
      <vt:lpstr>Charging</vt:lpstr>
      <vt:lpstr>Ga</vt:lpstr>
      <vt:lpstr>Sx</vt:lpstr>
      <vt:lpstr>APNs</vt:lpstr>
      <vt:lpstr>MGDefault</vt:lpstr>
      <vt:lpstr>RouterBase</vt:lpstr>
      <vt:lpstr>LBVPRNs</vt:lpstr>
      <vt:lpstr>MGsSpecific</vt:lpstr>
      <vt:lpstr>Ipfix</vt:lpstr>
      <vt:lpstr>NAT</vt:lpstr>
      <vt:lpstr>MG1VPRNs</vt:lpstr>
      <vt:lpstr>MG2VPRNs</vt:lpstr>
      <vt:lpstr>MG3VPRNs</vt:lpstr>
      <vt:lpstr>MG4VPRNs</vt:lpstr>
      <vt:lpstr>MG5VPRNs</vt:lpstr>
      <vt:lpstr>MG6VPRNs</vt:lpstr>
      <vt:lpstr>MG7VPRNs</vt:lpstr>
      <vt:lpstr>MG8VPRNs</vt:lpstr>
      <vt:lpstr>MG9VPRNs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Namdev, Akash (Nokia - IN/Noida)</dc:creator>
  <cp:lastModifiedBy>Namdev, Akash (Nokia - IN/Noida)</cp:lastModifiedBy>
  <dcterms:created xsi:type="dcterms:W3CDTF">2018-12-19T16:17:11Z</dcterms:created>
  <dcterms:modified xsi:type="dcterms:W3CDTF">2019-06-09T16:44:56Z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cc7c65-2b09-40ab-abef-d10548338a3b_Enabled">
    <vt:lpwstr>False</vt:lpwstr>
  </property>
  <property fmtid="{D5CDD505-2E9C-101B-9397-08002B2CF9AE}" pid="3" name="MSIP_Label_46cc7c65-2b09-40ab-abef-d10548338a3b_SiteId">
    <vt:lpwstr>5d471751-9675-428d-917b-70f44f9630b0</vt:lpwstr>
  </property>
  <property fmtid="{D5CDD505-2E9C-101B-9397-08002B2CF9AE}" pid="4" name="MSIP_Label_46cc7c65-2b09-40ab-abef-d10548338a3b_Owner">
    <vt:lpwstr>akash.namdev@nokia.com</vt:lpwstr>
  </property>
  <property fmtid="{D5CDD505-2E9C-101B-9397-08002B2CF9AE}" pid="5" name="MSIP_Label_46cc7c65-2b09-40ab-abef-d10548338a3b_SetDate">
    <vt:lpwstr>2019-03-28T11:11:01.3045419Z</vt:lpwstr>
  </property>
  <property fmtid="{D5CDD505-2E9C-101B-9397-08002B2CF9AE}" pid="6" name="MSIP_Label_46cc7c65-2b09-40ab-abef-d10548338a3b_Name">
    <vt:lpwstr>Nokia internal use</vt:lpwstr>
  </property>
  <property fmtid="{D5CDD505-2E9C-101B-9397-08002B2CF9AE}" pid="7" name="MSIP_Label_46cc7c65-2b09-40ab-abef-d10548338a3b_Application">
    <vt:lpwstr>Microsoft Azure Information Protection</vt:lpwstr>
  </property>
  <property fmtid="{D5CDD505-2E9C-101B-9397-08002B2CF9AE}" pid="8" name="MSIP_Label_46cc7c65-2b09-40ab-abef-d10548338a3b_Extended_MSFT_Method">
    <vt:lpwstr>Manual</vt:lpwstr>
  </property>
  <property fmtid="{D5CDD505-2E9C-101B-9397-08002B2CF9AE}" pid="9" name="ContentTypeId">
    <vt:lpwstr>0x010100928A534075C6B74F8403142B7ED870A6</vt:lpwstr>
  </property>
  <property fmtid="{D5CDD505-2E9C-101B-9397-08002B2CF9AE}" pid="10" name="_dlc_DocIdItemGuid">
    <vt:lpwstr>3e4f7763-c7f7-43ea-b898-10e0ff092fcd</vt:lpwstr>
  </property>
</Properties>
</file>